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f0ec7fd2bf0214/Desktop/Kurse/ML_Intro/03 doc/"/>
    </mc:Choice>
  </mc:AlternateContent>
  <xr:revisionPtr revIDLastSave="1104" documentId="8_{F8DAB85A-692F-4C2F-BF0A-1B315DD8071C}" xr6:coauthVersionLast="47" xr6:coauthVersionMax="47" xr10:uidLastSave="{F5DD40EE-ECBE-4EBC-AF98-94B909AAB49F}"/>
  <bookViews>
    <workbookView xWindow="-108" yWindow="-108" windowWidth="30936" windowHeight="16776" xr2:uid="{D6461637-D3C8-44BF-9A86-6305C9AFE92E}"/>
  </bookViews>
  <sheets>
    <sheet name="Tabelle1" sheetId="1" r:id="rId1"/>
  </sheets>
  <definedNames>
    <definedName name="FN">Tabelle1!$H$7</definedName>
    <definedName name="FP">Tabelle1!$H$6</definedName>
    <definedName name="solver_adj" localSheetId="0" hidden="1">Tabelle1!$E$1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Tabelle1!$L$5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  <definedName name="TN">Tabelle1!$H$5</definedName>
    <definedName name="TP">Tabelle1!$H$4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E34" i="1" s="1"/>
  <c r="D35" i="1"/>
  <c r="E35" i="1" s="1"/>
  <c r="D36" i="1"/>
  <c r="E36" i="1" s="1"/>
  <c r="D37" i="1"/>
  <c r="D38" i="1"/>
  <c r="E38" i="1" s="1"/>
  <c r="D39" i="1"/>
  <c r="D40" i="1"/>
  <c r="E40" i="1" s="1"/>
  <c r="D41" i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30" i="1"/>
  <c r="E30" i="1" s="1"/>
  <c r="D31" i="1"/>
  <c r="E31" i="1" s="1"/>
  <c r="D32" i="1"/>
  <c r="E32" i="1" s="1"/>
  <c r="D33" i="1"/>
  <c r="E33" i="1" s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E39" i="1"/>
  <c r="E41" i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E37" i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5" i="1"/>
  <c r="E5" i="1" s="1"/>
  <c r="H7" i="1" l="1"/>
  <c r="L5" i="1" s="1"/>
  <c r="H6" i="1"/>
  <c r="H5" i="1"/>
  <c r="H4" i="1"/>
  <c r="M4" i="1" l="1"/>
  <c r="M5" i="1"/>
  <c r="I13" i="1"/>
  <c r="I11" i="1"/>
  <c r="I12" i="1"/>
  <c r="L4" i="1"/>
  <c r="I14" i="1" l="1"/>
</calcChain>
</file>

<file path=xl/sharedStrings.xml><?xml version="1.0" encoding="utf-8"?>
<sst xmlns="http://schemas.openxmlformats.org/spreadsheetml/2006/main" count="22" uniqueCount="19">
  <si>
    <t>Id</t>
  </si>
  <si>
    <t>Schwellwert =</t>
  </si>
  <si>
    <t>Wahrscheinlichkeit</t>
  </si>
  <si>
    <t>Real</t>
  </si>
  <si>
    <t>Prognose</t>
  </si>
  <si>
    <t>TP</t>
  </si>
  <si>
    <t>TN</t>
  </si>
  <si>
    <t>FP</t>
  </si>
  <si>
    <t>FN</t>
  </si>
  <si>
    <t>Confusion Matrix</t>
  </si>
  <si>
    <t>predict</t>
  </si>
  <si>
    <t>false</t>
  </si>
  <si>
    <t>true</t>
  </si>
  <si>
    <t>Accuracy</t>
  </si>
  <si>
    <t>Precision</t>
  </si>
  <si>
    <t>Recall</t>
  </si>
  <si>
    <t>f1-score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</si>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</sst>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0" xfId="1"/>
    <xf numFmtId="2" fontId="0" fillId="0" borderId="0" xfId="0" applyNumberFormat="1"/>
    <xf numFmtId="2" fontId="0" fillId="0" borderId="0" xfId="0" applyNumberFormat="1" applyAlignment="1">
      <alignment horizontal="center"/>
    </xf>
    <xf numFmtId="0" fontId="2" fillId="3" borderId="0" xfId="2"/>
    <xf numFmtId="0" fontId="1" fillId="2" borderId="0" xfId="1" applyAlignment="1">
      <alignment horizontal="center"/>
    </xf>
    <xf numFmtId="0" fontId="2" fillId="3" borderId="0" xfId="2" applyAlignment="1">
      <alignment horizontal="center"/>
    </xf>
    <xf numFmtId="0" fontId="3" fillId="4" borderId="5" xfId="3" applyBorder="1" applyAlignment="1">
      <alignment horizontal="center" vertical="center" textRotation="90"/>
    </xf>
    <xf numFmtId="0" fontId="3" fillId="4" borderId="6" xfId="3" applyBorder="1" applyAlignment="1">
      <alignment horizontal="center" vertical="center" textRotation="90"/>
    </xf>
    <xf numFmtId="0" fontId="3" fillId="4" borderId="7" xfId="3" applyBorder="1" applyAlignment="1">
      <alignment horizontal="center" vertical="center" textRotation="90"/>
    </xf>
    <xf numFmtId="0" fontId="3" fillId="4" borderId="1" xfId="3" applyAlignment="1">
      <alignment horizontal="center" vertical="center"/>
    </xf>
    <xf numFmtId="0" fontId="5" fillId="6" borderId="0" xfId="0" applyFont="1" applyFill="1"/>
  </cellXfs>
  <cellStyles count="4">
    <cellStyle name="Berechnung" xfId="3" builtinId="22"/>
    <cellStyle name="Gut" xfId="1" builtinId="26"/>
    <cellStyle name="Schlecht" xfId="2" builtinId="27"/>
    <cellStyle name="Standard" xfId="0" builtinId="0"/>
  </cellStyles>
  <dxfs count="5">
    <dxf>
      <numFmt numFmtId="0" formatCode="General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29C1DA-36AC-4EFC-8F33-0D0B6626CF9F}" name="Tabelle1" displayName="Tabelle1" ref="A4:E47" totalsRowShown="0" headerRowDxfId="4">
  <tableColumns count="5">
    <tableColumn id="1" xr3:uid="{4AB65D6D-2E23-4967-A363-E049DF1229C2}" name="Id"/>
    <tableColumn id="2" xr3:uid="{DF27D0E6-C874-436B-84EB-71251FF70798}" name="Real" dataDxfId="3"/>
    <tableColumn id="3" xr3:uid="{D7B04DEB-D65D-4232-ACEB-7DDD165CFE23}" name="False" dataDxfId="2"/>
    <tableColumn id="4" xr3:uid="{5CC3BCB8-C506-41D7-9FD7-4B7D2A7A7816}" name="True" dataDxfId="1">
      <calculatedColumnFormula>1-Tabelle1[[#This Row],[False]]</calculatedColumnFormula>
    </tableColumn>
    <tableColumn id="5" xr3:uid="{D628B68D-DECB-40B6-9773-432661B745D2}" name="Prognose" dataDxfId="0">
      <calculatedColumnFormula>IF(D5&gt;=$E$1,1,0)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BFA18-3672-4BEC-A2A4-2A0541EFFDE7}">
  <dimension ref="A1:P47"/>
  <sheetViews>
    <sheetView showGridLines="0" tabSelected="1" workbookViewId="0">
      <selection activeCell="M5" sqref="M5"/>
    </sheetView>
  </sheetViews>
  <sheetFormatPr baseColWidth="10" defaultRowHeight="14.4" x14ac:dyDescent="0.3"/>
  <cols>
    <col min="1" max="1" width="5.109375" customWidth="1"/>
    <col min="2" max="2" width="10.77734375" customWidth="1"/>
    <col min="3" max="3" width="13.44140625" customWidth="1"/>
    <col min="7" max="8" width="7.77734375" customWidth="1"/>
    <col min="10" max="10" width="3.88671875" customWidth="1"/>
    <col min="11" max="11" width="5.21875" customWidth="1"/>
    <col min="12" max="13" width="7.77734375" customWidth="1"/>
  </cols>
  <sheetData>
    <row r="1" spans="1:16" x14ac:dyDescent="0.3">
      <c r="D1" s="4" t="s">
        <v>1</v>
      </c>
      <c r="E1" s="4">
        <v>0.5</v>
      </c>
    </row>
    <row r="2" spans="1:16" x14ac:dyDescent="0.3">
      <c r="L2" s="17" t="s">
        <v>9</v>
      </c>
      <c r="M2" s="17"/>
    </row>
    <row r="3" spans="1:16" x14ac:dyDescent="0.3">
      <c r="A3" s="2"/>
      <c r="B3" s="3"/>
      <c r="C3" s="5" t="s">
        <v>2</v>
      </c>
      <c r="D3" s="6"/>
      <c r="E3" s="4"/>
    </row>
    <row r="4" spans="1:16" ht="14.4" customHeight="1" x14ac:dyDescent="0.3">
      <c r="A4" s="1" t="s">
        <v>0</v>
      </c>
      <c r="B4" s="3" t="s">
        <v>3</v>
      </c>
      <c r="C4" s="1" t="s">
        <v>17</v>
      </c>
      <c r="D4" s="1" t="s">
        <v>18</v>
      </c>
      <c r="E4" s="4" t="s">
        <v>4</v>
      </c>
      <c r="G4" t="s">
        <v>5</v>
      </c>
      <c r="H4" s="7">
        <f>COUNTIFS(Tabelle1[Real],1,Tabelle1[Prognose],1)</f>
        <v>20</v>
      </c>
      <c r="J4" s="13" t="s">
        <v>10</v>
      </c>
      <c r="K4" t="s">
        <v>12</v>
      </c>
      <c r="L4" s="11">
        <f>TP</f>
        <v>20</v>
      </c>
      <c r="M4" s="12">
        <f>FP</f>
        <v>5</v>
      </c>
    </row>
    <row r="5" spans="1:16" x14ac:dyDescent="0.3">
      <c r="A5">
        <v>1</v>
      </c>
      <c r="B5" s="1">
        <v>1</v>
      </c>
      <c r="C5" s="9">
        <v>0.3</v>
      </c>
      <c r="D5" s="9">
        <f>1-Tabelle1[[#This Row],[False]]</f>
        <v>0.7</v>
      </c>
      <c r="E5" s="1">
        <f>IF(D5&gt;=$E$1,1,0)</f>
        <v>1</v>
      </c>
      <c r="G5" t="s">
        <v>6</v>
      </c>
      <c r="H5" s="7">
        <f>COUNTIFS(Tabelle1[Real],0,Tabelle1[Prognose],0)</f>
        <v>15</v>
      </c>
      <c r="J5" s="14"/>
      <c r="K5" t="s">
        <v>11</v>
      </c>
      <c r="L5" s="12">
        <f>FN</f>
        <v>3</v>
      </c>
      <c r="M5" s="11">
        <f>TN</f>
        <v>15</v>
      </c>
    </row>
    <row r="6" spans="1:16" x14ac:dyDescent="0.3">
      <c r="A6">
        <v>2</v>
      </c>
      <c r="B6" s="1">
        <v>1</v>
      </c>
      <c r="C6" s="9">
        <v>0.2</v>
      </c>
      <c r="D6" s="9">
        <f>1-Tabelle1[[#This Row],[False]]</f>
        <v>0.8</v>
      </c>
      <c r="E6" s="1">
        <f>IF(D6&gt;=$E$1,1,0)</f>
        <v>1</v>
      </c>
      <c r="G6" t="s">
        <v>7</v>
      </c>
      <c r="H6" s="10">
        <f>COUNTIFS(Tabelle1[Real],0,Tabelle1[Prognose],1)</f>
        <v>5</v>
      </c>
      <c r="J6" s="15"/>
      <c r="L6" t="s">
        <v>12</v>
      </c>
      <c r="M6" s="1" t="s">
        <v>11</v>
      </c>
    </row>
    <row r="7" spans="1:16" x14ac:dyDescent="0.3">
      <c r="A7">
        <v>3</v>
      </c>
      <c r="B7" s="1">
        <v>1</v>
      </c>
      <c r="C7" s="9">
        <v>0.4</v>
      </c>
      <c r="D7" s="9">
        <f>1-Tabelle1[[#This Row],[False]]</f>
        <v>0.6</v>
      </c>
      <c r="E7" s="1">
        <f>IF(D7&gt;=$E$1,1,0)</f>
        <v>1</v>
      </c>
      <c r="G7" t="s">
        <v>8</v>
      </c>
      <c r="H7" s="10">
        <f>COUNTIFS(Tabelle1[Real],1,Tabelle1[Prognose],0)</f>
        <v>3</v>
      </c>
      <c r="L7" s="16" t="s">
        <v>12</v>
      </c>
      <c r="M7" s="16"/>
    </row>
    <row r="8" spans="1:16" x14ac:dyDescent="0.3">
      <c r="A8">
        <v>4</v>
      </c>
      <c r="B8" s="1">
        <v>1</v>
      </c>
      <c r="C8" s="9">
        <v>0.4</v>
      </c>
      <c r="D8" s="9">
        <f>1-Tabelle1[[#This Row],[False]]</f>
        <v>0.6</v>
      </c>
      <c r="E8" s="1">
        <f>IF(D8&gt;=$E$1,1,0)</f>
        <v>1</v>
      </c>
    </row>
    <row r="9" spans="1:16" x14ac:dyDescent="0.3">
      <c r="A9">
        <v>5</v>
      </c>
      <c r="B9" s="1">
        <v>1</v>
      </c>
      <c r="C9" s="9">
        <v>0.4</v>
      </c>
      <c r="D9" s="9">
        <f>1-Tabelle1[[#This Row],[False]]</f>
        <v>0.6</v>
      </c>
      <c r="E9" s="1">
        <f>IF(D9&gt;=$E$1,1,0)</f>
        <v>1</v>
      </c>
    </row>
    <row r="10" spans="1:16" x14ac:dyDescent="0.3">
      <c r="A10">
        <v>6</v>
      </c>
      <c r="B10" s="1">
        <v>1</v>
      </c>
      <c r="C10" s="9">
        <v>0.2</v>
      </c>
      <c r="D10" s="9">
        <f>1-Tabelle1[[#This Row],[False]]</f>
        <v>0.8</v>
      </c>
      <c r="E10" s="1">
        <f>IF(D10&gt;=$E$1,1,0)</f>
        <v>1</v>
      </c>
    </row>
    <row r="11" spans="1:16" x14ac:dyDescent="0.3">
      <c r="A11">
        <v>7</v>
      </c>
      <c r="B11" s="1">
        <v>1</v>
      </c>
      <c r="C11" s="9">
        <v>0.1</v>
      </c>
      <c r="D11" s="9">
        <f>1-Tabelle1[[#This Row],[False]]</f>
        <v>0.9</v>
      </c>
      <c r="E11" s="1">
        <f>IF(D11&gt;=$E$1,1,0)</f>
        <v>1</v>
      </c>
      <c r="G11" t="s">
        <v>13</v>
      </c>
      <c r="I11" s="8">
        <f>(TP+TN)/(TP+TN+FP+FN)</f>
        <v>0.81395348837209303</v>
      </c>
    </row>
    <row r="12" spans="1:16" x14ac:dyDescent="0.3">
      <c r="A12">
        <v>8</v>
      </c>
      <c r="B12" s="1">
        <v>1</v>
      </c>
      <c r="C12" s="9">
        <v>0.2</v>
      </c>
      <c r="D12" s="9">
        <f>1-Tabelle1[[#This Row],[False]]</f>
        <v>0.8</v>
      </c>
      <c r="E12" s="1">
        <f>IF(D12&gt;=$E$1,1,0)</f>
        <v>1</v>
      </c>
      <c r="G12" t="s">
        <v>14</v>
      </c>
      <c r="I12" s="8">
        <f>TP/(TP+FP)</f>
        <v>0.8</v>
      </c>
      <c r="P12" s="1"/>
    </row>
    <row r="13" spans="1:16" x14ac:dyDescent="0.3">
      <c r="A13">
        <v>9</v>
      </c>
      <c r="B13" s="1">
        <v>1</v>
      </c>
      <c r="C13" s="9">
        <v>0.3</v>
      </c>
      <c r="D13" s="9">
        <f>1-Tabelle1[[#This Row],[False]]</f>
        <v>0.7</v>
      </c>
      <c r="E13" s="1">
        <f>IF(D13&gt;=$E$1,1,0)</f>
        <v>1</v>
      </c>
      <c r="G13" t="s">
        <v>15</v>
      </c>
      <c r="I13" s="8">
        <f>TP/(TP+FN)</f>
        <v>0.86956521739130432</v>
      </c>
    </row>
    <row r="14" spans="1:16" x14ac:dyDescent="0.3">
      <c r="A14">
        <v>10</v>
      </c>
      <c r="B14" s="1">
        <v>1</v>
      </c>
      <c r="C14" s="9">
        <v>0.25</v>
      </c>
      <c r="D14" s="9">
        <f>1-Tabelle1[[#This Row],[False]]</f>
        <v>0.75</v>
      </c>
      <c r="E14" s="1">
        <f>IF(D14&gt;=$E$1,1,0)</f>
        <v>1</v>
      </c>
      <c r="G14" t="s">
        <v>16</v>
      </c>
      <c r="I14" s="8">
        <f>2*(I12*I13)/(I12+I13)</f>
        <v>0.83333333333333326</v>
      </c>
    </row>
    <row r="15" spans="1:16" x14ac:dyDescent="0.3">
      <c r="A15">
        <v>11</v>
      </c>
      <c r="B15" s="1">
        <v>1</v>
      </c>
      <c r="C15" s="9">
        <v>0.5</v>
      </c>
      <c r="D15" s="9">
        <f>1-Tabelle1[[#This Row],[False]]</f>
        <v>0.5</v>
      </c>
      <c r="E15" s="1">
        <f>IF(D15&gt;=$E$1,1,0)</f>
        <v>1</v>
      </c>
    </row>
    <row r="16" spans="1:16" x14ac:dyDescent="0.3">
      <c r="A16">
        <v>12</v>
      </c>
      <c r="B16" s="1">
        <v>1</v>
      </c>
      <c r="C16" s="9">
        <v>0.1</v>
      </c>
      <c r="D16" s="9">
        <f>1-Tabelle1[[#This Row],[False]]</f>
        <v>0.9</v>
      </c>
      <c r="E16" s="1">
        <f>IF(D16&gt;=$E$1,1,0)</f>
        <v>1</v>
      </c>
    </row>
    <row r="17" spans="1:5" x14ac:dyDescent="0.3">
      <c r="A17">
        <v>13</v>
      </c>
      <c r="B17" s="1">
        <v>1</v>
      </c>
      <c r="C17" s="9">
        <v>0.2</v>
      </c>
      <c r="D17" s="9">
        <f>1-Tabelle1[[#This Row],[False]]</f>
        <v>0.8</v>
      </c>
      <c r="E17" s="1">
        <f>IF(D17&gt;=$E$1,1,0)</f>
        <v>1</v>
      </c>
    </row>
    <row r="18" spans="1:5" x14ac:dyDescent="0.3">
      <c r="A18">
        <v>14</v>
      </c>
      <c r="B18" s="1">
        <v>1</v>
      </c>
      <c r="C18" s="9">
        <v>0.3</v>
      </c>
      <c r="D18" s="9">
        <f>1-Tabelle1[[#This Row],[False]]</f>
        <v>0.7</v>
      </c>
      <c r="E18" s="1">
        <f>IF(D18&gt;=$E$1,1,0)</f>
        <v>1</v>
      </c>
    </row>
    <row r="19" spans="1:5" x14ac:dyDescent="0.3">
      <c r="A19">
        <v>15</v>
      </c>
      <c r="B19" s="1">
        <v>1</v>
      </c>
      <c r="C19" s="9">
        <v>0.25</v>
      </c>
      <c r="D19" s="9">
        <f>1-Tabelle1[[#This Row],[False]]</f>
        <v>0.75</v>
      </c>
      <c r="E19" s="1">
        <f>IF(D19&gt;=$E$1,1,0)</f>
        <v>1</v>
      </c>
    </row>
    <row r="20" spans="1:5" x14ac:dyDescent="0.3">
      <c r="A20">
        <v>16</v>
      </c>
      <c r="B20" s="1">
        <v>1</v>
      </c>
      <c r="C20" s="9">
        <v>0.1</v>
      </c>
      <c r="D20" s="9">
        <f>1-Tabelle1[[#This Row],[False]]</f>
        <v>0.9</v>
      </c>
      <c r="E20" s="1">
        <f>IF(D20&gt;=$E$1,1,0)</f>
        <v>1</v>
      </c>
    </row>
    <row r="21" spans="1:5" x14ac:dyDescent="0.3">
      <c r="A21">
        <v>17</v>
      </c>
      <c r="B21" s="1">
        <v>1</v>
      </c>
      <c r="C21" s="9">
        <v>0.2</v>
      </c>
      <c r="D21" s="9">
        <f>1-Tabelle1[[#This Row],[False]]</f>
        <v>0.8</v>
      </c>
      <c r="E21" s="1">
        <f>IF(D21&gt;=$E$1,1,0)</f>
        <v>1</v>
      </c>
    </row>
    <row r="22" spans="1:5" x14ac:dyDescent="0.3">
      <c r="A22">
        <v>18</v>
      </c>
      <c r="B22" s="1">
        <v>1</v>
      </c>
      <c r="C22" s="9">
        <v>0.3</v>
      </c>
      <c r="D22" s="9">
        <f>1-Tabelle1[[#This Row],[False]]</f>
        <v>0.7</v>
      </c>
      <c r="E22" s="1">
        <f>IF(D22&gt;=$E$1,1,0)</f>
        <v>1</v>
      </c>
    </row>
    <row r="23" spans="1:5" x14ac:dyDescent="0.3">
      <c r="A23">
        <v>19</v>
      </c>
      <c r="B23" s="1">
        <v>1</v>
      </c>
      <c r="C23" s="9">
        <v>0.4</v>
      </c>
      <c r="D23" s="9">
        <f>1-Tabelle1[[#This Row],[False]]</f>
        <v>0.6</v>
      </c>
      <c r="E23" s="1">
        <f>IF(D23&gt;=$E$1,1,0)</f>
        <v>1</v>
      </c>
    </row>
    <row r="24" spans="1:5" x14ac:dyDescent="0.3">
      <c r="A24">
        <v>20</v>
      </c>
      <c r="B24" s="1">
        <v>1</v>
      </c>
      <c r="C24" s="9">
        <v>0.3</v>
      </c>
      <c r="D24" s="9">
        <f>1-Tabelle1[[#This Row],[False]]</f>
        <v>0.7</v>
      </c>
      <c r="E24" s="1">
        <f>IF(D24&gt;=$E$1,1,0)</f>
        <v>1</v>
      </c>
    </row>
    <row r="25" spans="1:5" x14ac:dyDescent="0.3">
      <c r="A25">
        <v>21</v>
      </c>
      <c r="B25" s="1">
        <v>0</v>
      </c>
      <c r="C25" s="9">
        <v>0.1</v>
      </c>
      <c r="D25" s="9">
        <f>1-Tabelle1[[#This Row],[False]]</f>
        <v>0.9</v>
      </c>
      <c r="E25" s="1">
        <f>IF(D25&gt;=$E$1,1,0)</f>
        <v>1</v>
      </c>
    </row>
    <row r="26" spans="1:5" x14ac:dyDescent="0.3">
      <c r="A26">
        <v>22</v>
      </c>
      <c r="B26" s="1">
        <v>0</v>
      </c>
      <c r="C26" s="9">
        <v>0.2</v>
      </c>
      <c r="D26" s="9">
        <f>1-Tabelle1[[#This Row],[False]]</f>
        <v>0.8</v>
      </c>
      <c r="E26" s="1">
        <f>IF(D26&gt;=$E$1,1,0)</f>
        <v>1</v>
      </c>
    </row>
    <row r="27" spans="1:5" x14ac:dyDescent="0.3">
      <c r="A27">
        <v>23</v>
      </c>
      <c r="B27" s="1">
        <v>0</v>
      </c>
      <c r="C27" s="9">
        <v>0.3</v>
      </c>
      <c r="D27" s="9">
        <f>1-Tabelle1[[#This Row],[False]]</f>
        <v>0.7</v>
      </c>
      <c r="E27" s="1">
        <f>IF(D27&gt;=$E$1,1,0)</f>
        <v>1</v>
      </c>
    </row>
    <row r="28" spans="1:5" x14ac:dyDescent="0.3">
      <c r="A28">
        <v>24</v>
      </c>
      <c r="B28" s="1">
        <v>0</v>
      </c>
      <c r="C28" s="9">
        <v>0.4</v>
      </c>
      <c r="D28" s="9">
        <f>1-Tabelle1[[#This Row],[False]]</f>
        <v>0.6</v>
      </c>
      <c r="E28" s="1">
        <f>IF(D28&gt;=$E$1,1,0)</f>
        <v>1</v>
      </c>
    </row>
    <row r="29" spans="1:5" x14ac:dyDescent="0.3">
      <c r="A29">
        <v>25</v>
      </c>
      <c r="B29" s="1">
        <v>0</v>
      </c>
      <c r="C29" s="9">
        <v>0.1</v>
      </c>
      <c r="D29" s="9">
        <f>1-Tabelle1[[#This Row],[False]]</f>
        <v>0.9</v>
      </c>
      <c r="E29" s="1">
        <f>IF(D29&gt;=$E$1,1,0)</f>
        <v>1</v>
      </c>
    </row>
    <row r="30" spans="1:5" x14ac:dyDescent="0.3">
      <c r="A30">
        <v>26</v>
      </c>
      <c r="B30" s="1">
        <v>1</v>
      </c>
      <c r="C30" s="9">
        <v>0.9</v>
      </c>
      <c r="D30" s="9">
        <f>1-Tabelle1[[#This Row],[False]]</f>
        <v>9.9999999999999978E-2</v>
      </c>
      <c r="E30" s="1">
        <f>IF(D30&gt;=$E$1,1,0)</f>
        <v>0</v>
      </c>
    </row>
    <row r="31" spans="1:5" x14ac:dyDescent="0.3">
      <c r="A31">
        <v>27</v>
      </c>
      <c r="B31" s="1">
        <v>1</v>
      </c>
      <c r="C31" s="9">
        <v>0.8</v>
      </c>
      <c r="D31" s="9">
        <f>1-Tabelle1[[#This Row],[False]]</f>
        <v>0.19999999999999996</v>
      </c>
      <c r="E31" s="1">
        <f>IF(D31&gt;=$E$1,1,0)</f>
        <v>0</v>
      </c>
    </row>
    <row r="32" spans="1:5" x14ac:dyDescent="0.3">
      <c r="A32">
        <v>28</v>
      </c>
      <c r="B32" s="1">
        <v>0</v>
      </c>
      <c r="C32" s="9">
        <v>0.6</v>
      </c>
      <c r="D32" s="9">
        <f>1-Tabelle1[[#This Row],[False]]</f>
        <v>0.4</v>
      </c>
      <c r="E32" s="1">
        <f>IF(D32&gt;=$E$1,1,0)</f>
        <v>0</v>
      </c>
    </row>
    <row r="33" spans="1:5" x14ac:dyDescent="0.3">
      <c r="A33">
        <v>29</v>
      </c>
      <c r="B33" s="1">
        <v>0</v>
      </c>
      <c r="C33" s="9">
        <v>0.55000000000000004</v>
      </c>
      <c r="D33" s="9">
        <f>1-Tabelle1[[#This Row],[False]]</f>
        <v>0.44999999999999996</v>
      </c>
      <c r="E33" s="1">
        <f>IF(D33&gt;=$E$1,1,0)</f>
        <v>0</v>
      </c>
    </row>
    <row r="34" spans="1:5" x14ac:dyDescent="0.3">
      <c r="A34">
        <v>30</v>
      </c>
      <c r="B34" s="1">
        <v>0</v>
      </c>
      <c r="C34" s="9">
        <v>0.51</v>
      </c>
      <c r="D34" s="9">
        <f>1-Tabelle1[[#This Row],[False]]</f>
        <v>0.49</v>
      </c>
      <c r="E34" s="1">
        <f>IF(D34&gt;=$E$1,1,0)</f>
        <v>0</v>
      </c>
    </row>
    <row r="35" spans="1:5" x14ac:dyDescent="0.3">
      <c r="A35">
        <v>31</v>
      </c>
      <c r="B35" s="1">
        <v>0</v>
      </c>
      <c r="C35" s="9">
        <v>0.51</v>
      </c>
      <c r="D35" s="9">
        <f>1-Tabelle1[[#This Row],[False]]</f>
        <v>0.49</v>
      </c>
      <c r="E35" s="1">
        <f>IF(D35&gt;=$E$1,1,0)</f>
        <v>0</v>
      </c>
    </row>
    <row r="36" spans="1:5" x14ac:dyDescent="0.3">
      <c r="A36">
        <v>32</v>
      </c>
      <c r="B36" s="1">
        <v>0</v>
      </c>
      <c r="C36" s="9">
        <v>0.56000000000000005</v>
      </c>
      <c r="D36" s="9">
        <f>1-Tabelle1[[#This Row],[False]]</f>
        <v>0.43999999999999995</v>
      </c>
      <c r="E36" s="1">
        <f>IF(D36&gt;=$E$1,1,0)</f>
        <v>0</v>
      </c>
    </row>
    <row r="37" spans="1:5" x14ac:dyDescent="0.3">
      <c r="A37">
        <v>33</v>
      </c>
      <c r="B37" s="1">
        <v>0</v>
      </c>
      <c r="C37" s="9">
        <v>0.8</v>
      </c>
      <c r="D37" s="9">
        <f>1-Tabelle1[[#This Row],[False]]</f>
        <v>0.19999999999999996</v>
      </c>
      <c r="E37" s="1">
        <f>IF(D37&gt;=$E$1,1,0)</f>
        <v>0</v>
      </c>
    </row>
    <row r="38" spans="1:5" x14ac:dyDescent="0.3">
      <c r="A38">
        <v>34</v>
      </c>
      <c r="B38" s="1">
        <v>0</v>
      </c>
      <c r="C38" s="9">
        <v>0.9</v>
      </c>
      <c r="D38" s="9">
        <f>1-Tabelle1[[#This Row],[False]]</f>
        <v>9.9999999999999978E-2</v>
      </c>
      <c r="E38" s="1">
        <f>IF(D38&gt;=$E$1,1,0)</f>
        <v>0</v>
      </c>
    </row>
    <row r="39" spans="1:5" x14ac:dyDescent="0.3">
      <c r="A39">
        <v>35</v>
      </c>
      <c r="B39" s="1">
        <v>0</v>
      </c>
      <c r="C39" s="9">
        <v>0.6</v>
      </c>
      <c r="D39" s="9">
        <f>1-Tabelle1[[#This Row],[False]]</f>
        <v>0.4</v>
      </c>
      <c r="E39" s="1">
        <f>IF(D39&gt;=$E$1,1,0)</f>
        <v>0</v>
      </c>
    </row>
    <row r="40" spans="1:5" x14ac:dyDescent="0.3">
      <c r="A40">
        <v>36</v>
      </c>
      <c r="B40" s="1">
        <v>0</v>
      </c>
      <c r="C40" s="9">
        <v>0.7</v>
      </c>
      <c r="D40" s="9">
        <f>1-Tabelle1[[#This Row],[False]]</f>
        <v>0.30000000000000004</v>
      </c>
      <c r="E40" s="1">
        <f>IF(D40&gt;=$E$1,1,0)</f>
        <v>0</v>
      </c>
    </row>
    <row r="41" spans="1:5" x14ac:dyDescent="0.3">
      <c r="A41">
        <v>37</v>
      </c>
      <c r="B41" s="1">
        <v>0</v>
      </c>
      <c r="C41" s="9">
        <v>0.8</v>
      </c>
      <c r="D41" s="9">
        <f>1-Tabelle1[[#This Row],[False]]</f>
        <v>0.19999999999999996</v>
      </c>
      <c r="E41" s="1">
        <f>IF(D41&gt;=$E$1,1,0)</f>
        <v>0</v>
      </c>
    </row>
    <row r="42" spans="1:5" x14ac:dyDescent="0.3">
      <c r="A42">
        <v>38</v>
      </c>
      <c r="B42" s="1">
        <v>0</v>
      </c>
      <c r="C42" s="9">
        <v>0.9</v>
      </c>
      <c r="D42" s="9">
        <f>1-Tabelle1[[#This Row],[False]]</f>
        <v>9.9999999999999978E-2</v>
      </c>
      <c r="E42" s="1">
        <f>IF(D42&gt;=$E$1,1,0)</f>
        <v>0</v>
      </c>
    </row>
    <row r="43" spans="1:5" x14ac:dyDescent="0.3">
      <c r="A43">
        <v>39</v>
      </c>
      <c r="B43" s="1">
        <v>0</v>
      </c>
      <c r="C43" s="9">
        <v>0.6</v>
      </c>
      <c r="D43" s="9">
        <f>1-Tabelle1[[#This Row],[False]]</f>
        <v>0.4</v>
      </c>
      <c r="E43" s="1">
        <f>IF(D43&gt;=$E$1,1,0)</f>
        <v>0</v>
      </c>
    </row>
    <row r="44" spans="1:5" x14ac:dyDescent="0.3">
      <c r="A44">
        <v>40</v>
      </c>
      <c r="B44" s="1">
        <v>0</v>
      </c>
      <c r="C44" s="9">
        <v>0.7</v>
      </c>
      <c r="D44" s="9">
        <f>1-Tabelle1[[#This Row],[False]]</f>
        <v>0.30000000000000004</v>
      </c>
      <c r="E44" s="1">
        <f>IF(D44&gt;=$E$1,1,0)</f>
        <v>0</v>
      </c>
    </row>
    <row r="45" spans="1:5" x14ac:dyDescent="0.3">
      <c r="A45">
        <v>41</v>
      </c>
      <c r="B45" s="1">
        <v>0</v>
      </c>
      <c r="C45" s="9">
        <v>0.8</v>
      </c>
      <c r="D45" s="9">
        <f>1-Tabelle1[[#This Row],[False]]</f>
        <v>0.19999999999999996</v>
      </c>
      <c r="E45" s="1">
        <f>IF(D45&gt;=$E$1,1,0)</f>
        <v>0</v>
      </c>
    </row>
    <row r="46" spans="1:5" x14ac:dyDescent="0.3">
      <c r="A46">
        <v>42</v>
      </c>
      <c r="B46" s="1">
        <v>0</v>
      </c>
      <c r="C46" s="9">
        <v>0.9</v>
      </c>
      <c r="D46" s="9">
        <f>1-Tabelle1[[#This Row],[False]]</f>
        <v>9.9999999999999978E-2</v>
      </c>
      <c r="E46" s="1">
        <f>IF(D46&gt;=$E$1,1,0)</f>
        <v>0</v>
      </c>
    </row>
    <row r="47" spans="1:5" x14ac:dyDescent="0.3">
      <c r="A47">
        <v>43</v>
      </c>
      <c r="B47" s="1">
        <v>1</v>
      </c>
      <c r="C47" s="9">
        <v>0.6</v>
      </c>
      <c r="D47" s="9">
        <f>1-Tabelle1[[#This Row],[False]]</f>
        <v>0.4</v>
      </c>
      <c r="E47" s="1">
        <f>IF(D47&gt;=$E$1,1,0)</f>
        <v>0</v>
      </c>
    </row>
  </sheetData>
  <mergeCells count="4">
    <mergeCell ref="C3:D3"/>
    <mergeCell ref="L2:M2"/>
    <mergeCell ref="L7:M7"/>
    <mergeCell ref="J4:J6"/>
  </mergeCell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4</vt:i4>
      </vt:variant>
    </vt:vector>
  </HeadingPairs>
  <TitlesOfParts>
    <vt:vector size="5" baseType="lpstr">
      <vt:lpstr>Tabelle1</vt:lpstr>
      <vt:lpstr>FN</vt:lpstr>
      <vt:lpstr>FP</vt:lpstr>
      <vt:lpstr>TN</vt:lpstr>
      <vt:lpstr>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Bendig</dc:creator>
  <cp:lastModifiedBy>Ralf Bendig</cp:lastModifiedBy>
  <dcterms:created xsi:type="dcterms:W3CDTF">2024-06-04T12:49:15Z</dcterms:created>
  <dcterms:modified xsi:type="dcterms:W3CDTF">2024-06-04T16:06:27Z</dcterms:modified>
</cp:coreProperties>
</file>