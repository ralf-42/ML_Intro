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f0ec7fd2bf0214/Desktop/Kurse/MachineLearning/02 data/"/>
    </mc:Choice>
  </mc:AlternateContent>
  <xr:revisionPtr revIDLastSave="65" documentId="13_ncr:1_{07181002-2E2D-4B3C-8272-132E03E5D89D}" xr6:coauthVersionLast="47" xr6:coauthVersionMax="47" xr10:uidLastSave="{8D4ACAFE-6EED-45ED-A5E3-CA62AE1670BF}"/>
  <bookViews>
    <workbookView xWindow="-108" yWindow="-108" windowWidth="30936" windowHeight="16776" xr2:uid="{2D61CDE7-A767-4483-91CF-698C71BBD366}"/>
  </bookViews>
  <sheets>
    <sheet name="Beispiel" sheetId="1" r:id="rId1"/>
    <sheet name="Regressionsanaly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K25" i="1"/>
  <c r="P25" i="1" s="1"/>
  <c r="N3" i="1"/>
  <c r="N4" i="1" s="1"/>
  <c r="K26" i="1" l="1"/>
  <c r="P26" i="1" s="1"/>
  <c r="N5" i="1"/>
  <c r="K4" i="1"/>
  <c r="P4" i="1" s="1"/>
  <c r="K3" i="1"/>
  <c r="P3" i="1" s="1"/>
  <c r="K27" i="1" l="1"/>
  <c r="P27" i="1" s="1"/>
  <c r="N6" i="1"/>
  <c r="K5" i="1"/>
  <c r="P5" i="1" s="1"/>
  <c r="K28" i="1" l="1"/>
  <c r="P28" i="1" s="1"/>
  <c r="K6" i="1"/>
  <c r="P6" i="1" s="1"/>
  <c r="N7" i="1"/>
  <c r="K29" i="1" l="1"/>
  <c r="P29" i="1" s="1"/>
  <c r="N8" i="1"/>
  <c r="K7" i="1"/>
  <c r="P7" i="1" s="1"/>
  <c r="K30" i="1" l="1"/>
  <c r="P30" i="1" s="1"/>
  <c r="K8" i="1"/>
  <c r="P8" i="1" s="1"/>
  <c r="N9" i="1"/>
  <c r="K31" i="1" l="1"/>
  <c r="P31" i="1" s="1"/>
  <c r="N10" i="1"/>
  <c r="K9" i="1"/>
  <c r="P9" i="1" s="1"/>
  <c r="K32" i="1" l="1"/>
  <c r="P32" i="1" s="1"/>
  <c r="K10" i="1"/>
  <c r="P10" i="1" s="1"/>
  <c r="N11" i="1"/>
  <c r="K33" i="1" l="1"/>
  <c r="P33" i="1" s="1"/>
  <c r="K11" i="1"/>
  <c r="P11" i="1" s="1"/>
  <c r="N12" i="1"/>
  <c r="K34" i="1" l="1"/>
  <c r="P34" i="1" s="1"/>
  <c r="N13" i="1"/>
  <c r="K12" i="1"/>
  <c r="P12" i="1" s="1"/>
  <c r="K35" i="1" l="1"/>
  <c r="P35" i="1" s="1"/>
  <c r="N14" i="1"/>
  <c r="K13" i="1"/>
  <c r="P13" i="1" s="1"/>
  <c r="K36" i="1" l="1"/>
  <c r="P36" i="1" s="1"/>
  <c r="K14" i="1"/>
  <c r="P14" i="1" s="1"/>
  <c r="N15" i="1"/>
  <c r="K37" i="1" l="1"/>
  <c r="P37" i="1" s="1"/>
  <c r="N16" i="1"/>
  <c r="K15" i="1"/>
  <c r="P15" i="1" s="1"/>
  <c r="K38" i="1" l="1"/>
  <c r="P38" i="1" s="1"/>
  <c r="K16" i="1"/>
  <c r="P16" i="1" s="1"/>
  <c r="N17" i="1"/>
  <c r="K39" i="1" l="1"/>
  <c r="P39" i="1" s="1"/>
  <c r="N18" i="1"/>
  <c r="K17" i="1"/>
  <c r="P17" i="1" s="1"/>
  <c r="K40" i="1" l="1"/>
  <c r="P40" i="1" s="1"/>
  <c r="K18" i="1"/>
  <c r="P18" i="1" s="1"/>
  <c r="N19" i="1"/>
  <c r="K41" i="1" l="1"/>
  <c r="P41" i="1" s="1"/>
  <c r="K19" i="1"/>
  <c r="P19" i="1" s="1"/>
  <c r="N20" i="1"/>
  <c r="K42" i="1" l="1"/>
  <c r="P42" i="1" s="1"/>
  <c r="N21" i="1"/>
  <c r="K20" i="1"/>
  <c r="P20" i="1" s="1"/>
  <c r="K44" i="1" l="1"/>
  <c r="P44" i="1" s="1"/>
  <c r="K43" i="1"/>
  <c r="P43" i="1" s="1"/>
  <c r="N22" i="1"/>
  <c r="K21" i="1"/>
  <c r="P21" i="1" s="1"/>
  <c r="K22" i="1" l="1"/>
  <c r="P22" i="1" s="1"/>
</calcChain>
</file>

<file path=xl/sharedStrings.xml><?xml version="1.0" encoding="utf-8"?>
<sst xmlns="http://schemas.openxmlformats.org/spreadsheetml/2006/main" count="41" uniqueCount="32">
  <si>
    <t>intercept</t>
  </si>
  <si>
    <t>slope</t>
  </si>
  <si>
    <t>Gewicht (x)</t>
  </si>
  <si>
    <t>Groesse (y)</t>
  </si>
  <si>
    <t>Predicted (y)</t>
  </si>
  <si>
    <t>#</t>
  </si>
  <si>
    <t>AUSGABE: ZUSAMMENFASSUNG</t>
  </si>
  <si>
    <t>Regressions-Statistik</t>
  </si>
  <si>
    <t>Multipler Korrelationskoeffizient</t>
  </si>
  <si>
    <t>Bestimmtheitsmaß</t>
  </si>
  <si>
    <t>Adjustiertes Bestimmtheitsmaß</t>
  </si>
  <si>
    <t>Standardfehler</t>
  </si>
  <si>
    <t>Beobachtungen</t>
  </si>
  <si>
    <t>ANOVA</t>
  </si>
  <si>
    <t>Regression</t>
  </si>
  <si>
    <t>Residue</t>
  </si>
  <si>
    <t>Gesamt</t>
  </si>
  <si>
    <t>Schnittpunkt</t>
  </si>
  <si>
    <t>Freiheitsgrade (df)</t>
  </si>
  <si>
    <t>Quadratsummen (SS)</t>
  </si>
  <si>
    <t>Mittlere Quadratsumme (MS)</t>
  </si>
  <si>
    <t>Prüfgröße (F)</t>
  </si>
  <si>
    <t>F krit</t>
  </si>
  <si>
    <t>Koeffizienten</t>
  </si>
  <si>
    <t>t-Statistik</t>
  </si>
  <si>
    <t>P-Wert</t>
  </si>
  <si>
    <t>Untere 95%</t>
  </si>
  <si>
    <t>Obere 95%</t>
  </si>
  <si>
    <t>Untere 95,0%</t>
  </si>
  <si>
    <t>Obere 95,0%</t>
  </si>
  <si>
    <t>X Variable 1</t>
  </si>
  <si>
    <t>Residuum²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</si>
</sst>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3" fillId="0" borderId="0" xfId="0" applyFont="1"/>
    <xf numFmtId="0" fontId="0" fillId="4" borderId="0" xfId="0" applyFill="1"/>
    <xf numFmtId="3" fontId="0" fillId="0" borderId="0" xfId="0" applyNumberFormat="1"/>
    <xf numFmtId="0" fontId="0" fillId="4" borderId="2" xfId="0" applyFill="1" applyBorder="1"/>
    <xf numFmtId="0" fontId="2" fillId="4" borderId="3" xfId="0" applyFont="1" applyFill="1" applyBorder="1" applyAlignment="1">
      <alignment horizontal="center"/>
    </xf>
  </cellXfs>
  <cellStyles count="1">
    <cellStyle name="Standard" xfId="0" builtinId="0"/>
  </cellStyles>
  <dxfs count="10">
    <dxf>
      <numFmt numFmtId="3" formatCode="#,##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Beispiel!$P$2</c:f>
              <c:strCache>
                <c:ptCount val="1"/>
                <c:pt idx="0">
                  <c:v>Residuum²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Beispiel!$P$3:$P$22</c:f>
              <c:numCache>
                <c:formatCode>#,##0</c:formatCode>
                <c:ptCount val="20"/>
                <c:pt idx="0">
                  <c:v>8649</c:v>
                </c:pt>
                <c:pt idx="1">
                  <c:v>6889</c:v>
                </c:pt>
                <c:pt idx="2">
                  <c:v>5329</c:v>
                </c:pt>
                <c:pt idx="3">
                  <c:v>3969</c:v>
                </c:pt>
                <c:pt idx="4">
                  <c:v>2809</c:v>
                </c:pt>
                <c:pt idx="5">
                  <c:v>1849</c:v>
                </c:pt>
                <c:pt idx="6">
                  <c:v>1089</c:v>
                </c:pt>
                <c:pt idx="7">
                  <c:v>529</c:v>
                </c:pt>
                <c:pt idx="8">
                  <c:v>169</c:v>
                </c:pt>
                <c:pt idx="9">
                  <c:v>9</c:v>
                </c:pt>
                <c:pt idx="10">
                  <c:v>49</c:v>
                </c:pt>
                <c:pt idx="11">
                  <c:v>289</c:v>
                </c:pt>
                <c:pt idx="12">
                  <c:v>729</c:v>
                </c:pt>
                <c:pt idx="13">
                  <c:v>1369</c:v>
                </c:pt>
                <c:pt idx="14">
                  <c:v>2209</c:v>
                </c:pt>
                <c:pt idx="15">
                  <c:v>3249</c:v>
                </c:pt>
                <c:pt idx="16">
                  <c:v>4489</c:v>
                </c:pt>
                <c:pt idx="17">
                  <c:v>5929</c:v>
                </c:pt>
                <c:pt idx="18">
                  <c:v>7569</c:v>
                </c:pt>
                <c:pt idx="19">
                  <c:v>9409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6-4067-8FC1-401C76CC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760591"/>
        <c:axId val="1170769711"/>
      </c:lineChart>
      <c:catAx>
        <c:axId val="117076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intercept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0769711"/>
        <c:crosses val="autoZero"/>
        <c:auto val="1"/>
        <c:lblAlgn val="ctr"/>
        <c:lblOffset val="100"/>
        <c:noMultiLvlLbl val="0"/>
      </c:catAx>
      <c:valAx>
        <c:axId val="117076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Residuum²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07605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Beispiel!$C$2</c:f>
              <c:strCache>
                <c:ptCount val="1"/>
                <c:pt idx="0">
                  <c:v>Groesse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5875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Beispiel!$B$3:$B$32</c:f>
              <c:numCache>
                <c:formatCode>General</c:formatCode>
                <c:ptCount val="30"/>
                <c:pt idx="0">
                  <c:v>49</c:v>
                </c:pt>
                <c:pt idx="1">
                  <c:v>49</c:v>
                </c:pt>
                <c:pt idx="2">
                  <c:v>51</c:v>
                </c:pt>
                <c:pt idx="3">
                  <c:v>56</c:v>
                </c:pt>
                <c:pt idx="4">
                  <c:v>56</c:v>
                </c:pt>
                <c:pt idx="5">
                  <c:v>58</c:v>
                </c:pt>
                <c:pt idx="6">
                  <c:v>58</c:v>
                </c:pt>
                <c:pt idx="7">
                  <c:v>59</c:v>
                </c:pt>
                <c:pt idx="8">
                  <c:v>59</c:v>
                </c:pt>
                <c:pt idx="9">
                  <c:v>60</c:v>
                </c:pt>
                <c:pt idx="10">
                  <c:v>64</c:v>
                </c:pt>
                <c:pt idx="11">
                  <c:v>65</c:v>
                </c:pt>
                <c:pt idx="12">
                  <c:v>67</c:v>
                </c:pt>
                <c:pt idx="13">
                  <c:v>67</c:v>
                </c:pt>
                <c:pt idx="14">
                  <c:v>68</c:v>
                </c:pt>
                <c:pt idx="15">
                  <c:v>70</c:v>
                </c:pt>
                <c:pt idx="16">
                  <c:v>70</c:v>
                </c:pt>
                <c:pt idx="17">
                  <c:v>73</c:v>
                </c:pt>
                <c:pt idx="18">
                  <c:v>74</c:v>
                </c:pt>
                <c:pt idx="19">
                  <c:v>76</c:v>
                </c:pt>
                <c:pt idx="20">
                  <c:v>79</c:v>
                </c:pt>
                <c:pt idx="21">
                  <c:v>80</c:v>
                </c:pt>
                <c:pt idx="22">
                  <c:v>82</c:v>
                </c:pt>
                <c:pt idx="23">
                  <c:v>82</c:v>
                </c:pt>
                <c:pt idx="24">
                  <c:v>85</c:v>
                </c:pt>
                <c:pt idx="25">
                  <c:v>86</c:v>
                </c:pt>
                <c:pt idx="26">
                  <c:v>88</c:v>
                </c:pt>
                <c:pt idx="27">
                  <c:v>97</c:v>
                </c:pt>
                <c:pt idx="28">
                  <c:v>100</c:v>
                </c:pt>
                <c:pt idx="29">
                  <c:v>103</c:v>
                </c:pt>
              </c:numCache>
            </c:numRef>
          </c:xVal>
          <c:yVal>
            <c:numRef>
              <c:f>Beispiel!$C$3:$C$32</c:f>
              <c:numCache>
                <c:formatCode>General</c:formatCode>
                <c:ptCount val="30"/>
                <c:pt idx="0">
                  <c:v>156</c:v>
                </c:pt>
                <c:pt idx="1">
                  <c:v>157</c:v>
                </c:pt>
                <c:pt idx="2">
                  <c:v>161</c:v>
                </c:pt>
                <c:pt idx="3">
                  <c:v>170</c:v>
                </c:pt>
                <c:pt idx="4">
                  <c:v>164</c:v>
                </c:pt>
                <c:pt idx="5">
                  <c:v>159</c:v>
                </c:pt>
                <c:pt idx="6">
                  <c:v>161</c:v>
                </c:pt>
                <c:pt idx="7">
                  <c:v>160</c:v>
                </c:pt>
                <c:pt idx="8">
                  <c:v>166</c:v>
                </c:pt>
                <c:pt idx="9">
                  <c:v>168</c:v>
                </c:pt>
                <c:pt idx="10">
                  <c:v>166</c:v>
                </c:pt>
                <c:pt idx="11">
                  <c:v>165</c:v>
                </c:pt>
                <c:pt idx="12">
                  <c:v>171</c:v>
                </c:pt>
                <c:pt idx="13">
                  <c:v>168</c:v>
                </c:pt>
                <c:pt idx="14">
                  <c:v>168</c:v>
                </c:pt>
                <c:pt idx="15">
                  <c:v>185</c:v>
                </c:pt>
                <c:pt idx="16">
                  <c:v>160</c:v>
                </c:pt>
                <c:pt idx="17">
                  <c:v>188</c:v>
                </c:pt>
                <c:pt idx="18">
                  <c:v>179</c:v>
                </c:pt>
                <c:pt idx="19">
                  <c:v>180</c:v>
                </c:pt>
                <c:pt idx="20">
                  <c:v>181</c:v>
                </c:pt>
                <c:pt idx="21">
                  <c:v>179</c:v>
                </c:pt>
                <c:pt idx="22">
                  <c:v>194</c:v>
                </c:pt>
                <c:pt idx="23">
                  <c:v>190</c:v>
                </c:pt>
                <c:pt idx="24">
                  <c:v>180</c:v>
                </c:pt>
                <c:pt idx="25">
                  <c:v>182</c:v>
                </c:pt>
                <c:pt idx="26">
                  <c:v>186</c:v>
                </c:pt>
                <c:pt idx="27">
                  <c:v>197</c:v>
                </c:pt>
                <c:pt idx="28">
                  <c:v>194</c:v>
                </c:pt>
                <c:pt idx="29">
                  <c:v>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0-4923-9DFB-B2DCDDC27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127423"/>
        <c:axId val="945130303"/>
      </c:scatterChart>
      <c:valAx>
        <c:axId val="945127423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130303"/>
        <c:crosses val="autoZero"/>
        <c:crossBetween val="midCat"/>
      </c:valAx>
      <c:valAx>
        <c:axId val="945130303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Größe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12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Beispiel!$P$24</c:f>
              <c:strCache>
                <c:ptCount val="1"/>
                <c:pt idx="0">
                  <c:v>Residuum²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Beispiel!$P$25:$P$44</c:f>
              <c:numCache>
                <c:formatCode>#,##0</c:formatCode>
                <c:ptCount val="20"/>
                <c:pt idx="0">
                  <c:v>9158.49</c:v>
                </c:pt>
                <c:pt idx="1">
                  <c:v>7293.1600000000008</c:v>
                </c:pt>
                <c:pt idx="2">
                  <c:v>5640.0099999999993</c:v>
                </c:pt>
                <c:pt idx="3">
                  <c:v>4199.0400000000018</c:v>
                </c:pt>
                <c:pt idx="4">
                  <c:v>2970.25</c:v>
                </c:pt>
                <c:pt idx="5">
                  <c:v>1953.639999999999</c:v>
                </c:pt>
                <c:pt idx="6">
                  <c:v>1149.2100000000005</c:v>
                </c:pt>
                <c:pt idx="7">
                  <c:v>556.9599999999997</c:v>
                </c:pt>
                <c:pt idx="8">
                  <c:v>176.8900000000003</c:v>
                </c:pt>
                <c:pt idx="9">
                  <c:v>9</c:v>
                </c:pt>
                <c:pt idx="10">
                  <c:v>53.290000000000163</c:v>
                </c:pt>
                <c:pt idx="11">
                  <c:v>309.75999999999982</c:v>
                </c:pt>
                <c:pt idx="12">
                  <c:v>778.41000000000031</c:v>
                </c:pt>
                <c:pt idx="13">
                  <c:v>1459.2399999999991</c:v>
                </c:pt>
                <c:pt idx="14">
                  <c:v>2352.25</c:v>
                </c:pt>
                <c:pt idx="15">
                  <c:v>3457.4400000000014</c:v>
                </c:pt>
                <c:pt idx="16">
                  <c:v>4774.8100000000031</c:v>
                </c:pt>
                <c:pt idx="17">
                  <c:v>6304.359999999996</c:v>
                </c:pt>
                <c:pt idx="18">
                  <c:v>8046.0899999999983</c:v>
                </c:pt>
                <c:pt idx="1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6-4CE1-A759-B8855BD9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163391"/>
        <c:axId val="1161163871"/>
      </c:lineChart>
      <c:catAx>
        <c:axId val="116116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1163871"/>
        <c:crosses val="autoZero"/>
        <c:auto val="1"/>
        <c:lblAlgn val="ctr"/>
        <c:lblOffset val="100"/>
        <c:noMultiLvlLbl val="0"/>
      </c:catAx>
      <c:valAx>
        <c:axId val="116116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Residuum²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116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1</xdr:row>
      <xdr:rowOff>11430</xdr:rowOff>
    </xdr:from>
    <xdr:to>
      <xdr:col>19</xdr:col>
      <xdr:colOff>403860</xdr:colOff>
      <xdr:row>16</xdr:row>
      <xdr:rowOff>11430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1C0B925-032D-009F-A535-1D9665932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1</xdr:row>
      <xdr:rowOff>3810</xdr:rowOff>
    </xdr:from>
    <xdr:to>
      <xdr:col>8</xdr:col>
      <xdr:colOff>784860</xdr:colOff>
      <xdr:row>16</xdr:row>
      <xdr:rowOff>3810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B2A3ACC-3B3A-401A-9D69-D06E14BFD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312420</xdr:colOff>
      <xdr:row>23</xdr:row>
      <xdr:rowOff>34290</xdr:rowOff>
    </xdr:from>
    <xdr:to>
      <xdr:col>19</xdr:col>
      <xdr:colOff>472440</xdr:colOff>
      <xdr:row>38</xdr:row>
      <xdr:rowOff>30480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17B3F261-638A-103F-FE67-4AE55FD9B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571500</xdr:colOff>
      <xdr:row>18</xdr:row>
      <xdr:rowOff>121920</xdr:rowOff>
    </xdr:from>
    <xdr:ext cx="1864228" cy="153259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918790A-94E3-AF19-A14F-64A4509AA433}"/>
            </a:ext>
          </a:extLst>
        </xdr:cNvPr>
        <xdr:cNvSpPr txBox="1"/>
      </xdr:nvSpPr>
      <xdr:spPr>
        <a:xfrm>
          <a:off x="3482340" y="3413760"/>
          <a:ext cx="1864228" cy="1532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3200"/>
            <a:t>y = ax + b</a:t>
          </a:r>
        </a:p>
        <a:p>
          <a:endParaRPr lang="de-DE" sz="3200"/>
        </a:p>
        <a:p>
          <a:r>
            <a:rPr lang="de-DE" sz="1400"/>
            <a:t>a = Steigung/slope</a:t>
          </a:r>
        </a:p>
        <a:p>
          <a:r>
            <a:rPr lang="de-DE" sz="1400"/>
            <a:t>b = Ursprung/intercept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22D0C-B9A6-4F5E-BA4E-FFF67BA39031}" name="Tabelle1" displayName="Tabelle1" ref="B2:C32" totalsRowShown="0" headerRowDxfId="9">
  <tableColumns count="2">
    <tableColumn id="1" xr3:uid="{64DB904C-8F89-40EF-940D-392EAA57B32A}" name="Gewicht (x)"/>
    <tableColumn id="2" xr3:uid="{356F338E-0C34-461F-9B8C-05B49CFF80DD}" name="Groesse (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421AB-0696-4DF6-A02B-448085D2C51E}" name="Tabelle2" displayName="Tabelle2" ref="K2:N23" totalsRowShown="0" headerRowDxfId="8">
  <tableColumns count="4">
    <tableColumn id="1" xr3:uid="{4C22523F-D992-4D39-8DC0-0F0969E96E41}" name="Predicted (y)">
      <calculatedColumnFormula>L3+(M3*N3)</calculatedColumnFormula>
    </tableColumn>
    <tableColumn id="2" xr3:uid="{9881104A-FF65-47BB-B9BF-FE99D6FC4AD4}" name="intercept" dataDxfId="7"/>
    <tableColumn id="3" xr3:uid="{AD60ACFB-AF19-4AF1-8F16-CF35FB6DEB35}" name="slope"/>
    <tableColumn id="4" xr3:uid="{104ABC3E-697E-41C2-A4CD-E03F55D9151A}" name="Gewicht (x)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74381B-59F9-43D6-8E84-7F599BD14B26}" name="Tabelle3" displayName="Tabelle3" ref="P2:P22" totalsRowShown="0" headerRowDxfId="6" dataDxfId="5">
  <tableColumns count="1">
    <tableColumn id="1" xr3:uid="{BD3B7561-1F73-4C2A-B44A-927CA1D4EE83}" name="Residuum²" dataDxfId="4">
      <calculatedColumnFormula>(K3-$C$32)^2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D7A1D3-1ED6-467C-A548-D81B2072C4FC}" name="Tabelle25" displayName="Tabelle25" ref="K24:N44" totalsRowShown="0" headerRowDxfId="3">
  <tableColumns count="4">
    <tableColumn id="1" xr3:uid="{05437520-1EE0-4559-8503-81406B4B9E76}" name="Predicted (y)">
      <calculatedColumnFormula>L25+(M25*N25)</calculatedColumnFormula>
    </tableColumn>
    <tableColumn id="2" xr3:uid="{950E65C6-0029-428C-8504-75B8A5E4FF8E}" name="intercept"/>
    <tableColumn id="3" xr3:uid="{401565B2-A5B3-4081-A22B-216DB067B542}" name="slope" dataDxfId="2"/>
    <tableColumn id="4" xr3:uid="{24B326CA-BB15-4943-928C-DDE52C624551}" name="Gewicht (x)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AC81A1-483F-4A08-9877-F48C0F8852DF}" name="Tabelle36" displayName="Tabelle36" ref="P24:P44" totalsRowShown="0" headerRowDxfId="1">
  <tableColumns count="1">
    <tableColumn id="1" xr3:uid="{DB662CE3-4D16-4D09-8DE2-49A8FDD8C1DE}" name="Residuum²" dataDxfId="0">
      <calculatedColumnFormula>(K25-$C$32)^2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7AEA-ED2D-4A97-AAEC-4C8E5D12D341}">
  <dimension ref="A1:P44"/>
  <sheetViews>
    <sheetView showGridLines="0" tabSelected="1" workbookViewId="0">
      <selection activeCell="C33" sqref="C33"/>
    </sheetView>
  </sheetViews>
  <sheetFormatPr baseColWidth="10" defaultRowHeight="14.4" x14ac:dyDescent="0.3"/>
  <cols>
    <col min="1" max="1" width="7.77734375" customWidth="1"/>
    <col min="5" max="5" width="11.88671875" customWidth="1"/>
    <col min="8" max="8" width="12" customWidth="1"/>
    <col min="15" max="15" width="5.77734375" customWidth="1"/>
  </cols>
  <sheetData>
    <row r="1" spans="1:16" x14ac:dyDescent="0.3">
      <c r="B1" s="1"/>
      <c r="C1" s="1"/>
      <c r="L1" s="2"/>
    </row>
    <row r="2" spans="1:16" x14ac:dyDescent="0.3">
      <c r="A2" s="3" t="s">
        <v>5</v>
      </c>
      <c r="B2" s="2" t="s">
        <v>2</v>
      </c>
      <c r="C2" s="2" t="s">
        <v>3</v>
      </c>
      <c r="K2" s="2" t="s">
        <v>4</v>
      </c>
      <c r="L2" s="2" t="s">
        <v>0</v>
      </c>
      <c r="M2" s="2" t="s">
        <v>1</v>
      </c>
      <c r="N2" s="2" t="s">
        <v>2</v>
      </c>
      <c r="P2" s="2" t="s">
        <v>31</v>
      </c>
    </row>
    <row r="3" spans="1:16" x14ac:dyDescent="0.3">
      <c r="A3" s="4">
        <v>1</v>
      </c>
      <c r="B3">
        <v>49</v>
      </c>
      <c r="C3">
        <v>156</v>
      </c>
      <c r="K3">
        <f t="shared" ref="K3:K22" si="0">L3+(M3*N3)</f>
        <v>113</v>
      </c>
      <c r="L3" s="10">
        <v>10</v>
      </c>
      <c r="M3">
        <v>1</v>
      </c>
      <c r="N3">
        <f>B32</f>
        <v>103</v>
      </c>
      <c r="P3" s="11">
        <f t="shared" ref="P3:P22" si="1">(K3-$C$32)^2</f>
        <v>8649</v>
      </c>
    </row>
    <row r="4" spans="1:16" x14ac:dyDescent="0.3">
      <c r="A4" s="5">
        <v>2</v>
      </c>
      <c r="B4">
        <v>49</v>
      </c>
      <c r="C4">
        <v>157</v>
      </c>
      <c r="K4">
        <f t="shared" si="0"/>
        <v>123</v>
      </c>
      <c r="L4" s="10">
        <v>20</v>
      </c>
      <c r="M4">
        <v>1</v>
      </c>
      <c r="N4">
        <f t="shared" ref="N4:N22" si="2">N3</f>
        <v>103</v>
      </c>
      <c r="P4" s="11">
        <f t="shared" si="1"/>
        <v>6889</v>
      </c>
    </row>
    <row r="5" spans="1:16" x14ac:dyDescent="0.3">
      <c r="A5" s="4">
        <v>3</v>
      </c>
      <c r="B5">
        <v>51</v>
      </c>
      <c r="C5">
        <v>161</v>
      </c>
      <c r="K5">
        <f t="shared" si="0"/>
        <v>133</v>
      </c>
      <c r="L5" s="10">
        <v>30</v>
      </c>
      <c r="M5">
        <v>1</v>
      </c>
      <c r="N5">
        <f t="shared" si="2"/>
        <v>103</v>
      </c>
      <c r="P5" s="11">
        <f t="shared" si="1"/>
        <v>5329</v>
      </c>
    </row>
    <row r="6" spans="1:16" x14ac:dyDescent="0.3">
      <c r="A6" s="5">
        <v>4</v>
      </c>
      <c r="B6">
        <v>56</v>
      </c>
      <c r="C6">
        <v>170</v>
      </c>
      <c r="K6">
        <f t="shared" si="0"/>
        <v>143</v>
      </c>
      <c r="L6" s="10">
        <v>40</v>
      </c>
      <c r="M6">
        <v>1</v>
      </c>
      <c r="N6">
        <f t="shared" si="2"/>
        <v>103</v>
      </c>
      <c r="P6" s="11">
        <f t="shared" si="1"/>
        <v>3969</v>
      </c>
    </row>
    <row r="7" spans="1:16" x14ac:dyDescent="0.3">
      <c r="A7" s="4">
        <v>5</v>
      </c>
      <c r="B7">
        <v>56</v>
      </c>
      <c r="C7">
        <v>164</v>
      </c>
      <c r="K7">
        <f t="shared" si="0"/>
        <v>153</v>
      </c>
      <c r="L7" s="10">
        <v>50</v>
      </c>
      <c r="M7">
        <v>1</v>
      </c>
      <c r="N7">
        <f t="shared" si="2"/>
        <v>103</v>
      </c>
      <c r="P7" s="11">
        <f t="shared" si="1"/>
        <v>2809</v>
      </c>
    </row>
    <row r="8" spans="1:16" x14ac:dyDescent="0.3">
      <c r="A8" s="5">
        <v>6</v>
      </c>
      <c r="B8">
        <v>58</v>
      </c>
      <c r="C8">
        <v>159</v>
      </c>
      <c r="K8">
        <f t="shared" si="0"/>
        <v>163</v>
      </c>
      <c r="L8" s="10">
        <v>60</v>
      </c>
      <c r="M8">
        <v>1</v>
      </c>
      <c r="N8">
        <f t="shared" si="2"/>
        <v>103</v>
      </c>
      <c r="P8" s="11">
        <f t="shared" si="1"/>
        <v>1849</v>
      </c>
    </row>
    <row r="9" spans="1:16" x14ac:dyDescent="0.3">
      <c r="A9" s="4">
        <v>7</v>
      </c>
      <c r="B9">
        <v>58</v>
      </c>
      <c r="C9">
        <v>161</v>
      </c>
      <c r="K9">
        <f t="shared" si="0"/>
        <v>173</v>
      </c>
      <c r="L9" s="10">
        <v>70</v>
      </c>
      <c r="M9">
        <v>1</v>
      </c>
      <c r="N9">
        <f t="shared" si="2"/>
        <v>103</v>
      </c>
      <c r="P9" s="11">
        <f t="shared" si="1"/>
        <v>1089</v>
      </c>
    </row>
    <row r="10" spans="1:16" x14ac:dyDescent="0.3">
      <c r="A10" s="5">
        <v>8</v>
      </c>
      <c r="B10">
        <v>59</v>
      </c>
      <c r="C10">
        <v>160</v>
      </c>
      <c r="K10">
        <f t="shared" si="0"/>
        <v>183</v>
      </c>
      <c r="L10" s="10">
        <v>80</v>
      </c>
      <c r="M10">
        <v>1</v>
      </c>
      <c r="N10">
        <f t="shared" si="2"/>
        <v>103</v>
      </c>
      <c r="P10" s="11">
        <f t="shared" si="1"/>
        <v>529</v>
      </c>
    </row>
    <row r="11" spans="1:16" x14ac:dyDescent="0.3">
      <c r="A11" s="4">
        <v>9</v>
      </c>
      <c r="B11">
        <v>59</v>
      </c>
      <c r="C11">
        <v>166</v>
      </c>
      <c r="K11">
        <f t="shared" si="0"/>
        <v>193</v>
      </c>
      <c r="L11" s="10">
        <v>90</v>
      </c>
      <c r="M11">
        <v>1</v>
      </c>
      <c r="N11">
        <f t="shared" si="2"/>
        <v>103</v>
      </c>
      <c r="P11" s="11">
        <f t="shared" si="1"/>
        <v>169</v>
      </c>
    </row>
    <row r="12" spans="1:16" x14ac:dyDescent="0.3">
      <c r="A12" s="5">
        <v>10</v>
      </c>
      <c r="B12">
        <v>60</v>
      </c>
      <c r="C12">
        <v>168</v>
      </c>
      <c r="K12">
        <f t="shared" si="0"/>
        <v>203</v>
      </c>
      <c r="L12" s="10">
        <v>100</v>
      </c>
      <c r="M12">
        <v>1</v>
      </c>
      <c r="N12">
        <f t="shared" si="2"/>
        <v>103</v>
      </c>
      <c r="P12" s="11">
        <f t="shared" si="1"/>
        <v>9</v>
      </c>
    </row>
    <row r="13" spans="1:16" x14ac:dyDescent="0.3">
      <c r="A13" s="4">
        <v>11</v>
      </c>
      <c r="B13">
        <v>64</v>
      </c>
      <c r="C13">
        <v>166</v>
      </c>
      <c r="K13">
        <f t="shared" si="0"/>
        <v>213</v>
      </c>
      <c r="L13" s="10">
        <v>110</v>
      </c>
      <c r="M13">
        <v>1</v>
      </c>
      <c r="N13">
        <f t="shared" si="2"/>
        <v>103</v>
      </c>
      <c r="P13" s="11">
        <f t="shared" si="1"/>
        <v>49</v>
      </c>
    </row>
    <row r="14" spans="1:16" x14ac:dyDescent="0.3">
      <c r="A14" s="5">
        <v>12</v>
      </c>
      <c r="B14">
        <v>65</v>
      </c>
      <c r="C14">
        <v>165</v>
      </c>
      <c r="K14">
        <f t="shared" si="0"/>
        <v>223</v>
      </c>
      <c r="L14" s="10">
        <v>120</v>
      </c>
      <c r="M14">
        <v>1</v>
      </c>
      <c r="N14">
        <f t="shared" si="2"/>
        <v>103</v>
      </c>
      <c r="P14" s="11">
        <f t="shared" si="1"/>
        <v>289</v>
      </c>
    </row>
    <row r="15" spans="1:16" x14ac:dyDescent="0.3">
      <c r="A15" s="4">
        <v>13</v>
      </c>
      <c r="B15">
        <v>67</v>
      </c>
      <c r="C15">
        <v>171</v>
      </c>
      <c r="K15">
        <f t="shared" si="0"/>
        <v>233</v>
      </c>
      <c r="L15" s="10">
        <v>130</v>
      </c>
      <c r="M15">
        <v>1</v>
      </c>
      <c r="N15">
        <f t="shared" si="2"/>
        <v>103</v>
      </c>
      <c r="P15" s="11">
        <f t="shared" si="1"/>
        <v>729</v>
      </c>
    </row>
    <row r="16" spans="1:16" x14ac:dyDescent="0.3">
      <c r="A16" s="5">
        <v>14</v>
      </c>
      <c r="B16">
        <v>67</v>
      </c>
      <c r="C16">
        <v>168</v>
      </c>
      <c r="K16">
        <f t="shared" si="0"/>
        <v>243</v>
      </c>
      <c r="L16" s="10">
        <v>140</v>
      </c>
      <c r="M16">
        <v>1</v>
      </c>
      <c r="N16">
        <f t="shared" si="2"/>
        <v>103</v>
      </c>
      <c r="P16" s="11">
        <f t="shared" si="1"/>
        <v>1369</v>
      </c>
    </row>
    <row r="17" spans="1:16" x14ac:dyDescent="0.3">
      <c r="A17" s="4">
        <v>15</v>
      </c>
      <c r="B17">
        <v>68</v>
      </c>
      <c r="C17">
        <v>168</v>
      </c>
      <c r="K17">
        <f t="shared" si="0"/>
        <v>253</v>
      </c>
      <c r="L17" s="10">
        <v>150</v>
      </c>
      <c r="M17">
        <v>1</v>
      </c>
      <c r="N17">
        <f t="shared" si="2"/>
        <v>103</v>
      </c>
      <c r="P17" s="11">
        <f t="shared" si="1"/>
        <v>2209</v>
      </c>
    </row>
    <row r="18" spans="1:16" x14ac:dyDescent="0.3">
      <c r="A18" s="5">
        <v>16</v>
      </c>
      <c r="B18">
        <v>70</v>
      </c>
      <c r="C18">
        <v>185</v>
      </c>
      <c r="K18">
        <f t="shared" si="0"/>
        <v>263</v>
      </c>
      <c r="L18" s="10">
        <v>160</v>
      </c>
      <c r="M18">
        <v>1</v>
      </c>
      <c r="N18">
        <f t="shared" si="2"/>
        <v>103</v>
      </c>
      <c r="P18" s="11">
        <f t="shared" si="1"/>
        <v>3249</v>
      </c>
    </row>
    <row r="19" spans="1:16" x14ac:dyDescent="0.3">
      <c r="A19" s="4">
        <v>17</v>
      </c>
      <c r="B19">
        <v>70</v>
      </c>
      <c r="C19">
        <v>160</v>
      </c>
      <c r="K19">
        <f t="shared" si="0"/>
        <v>273</v>
      </c>
      <c r="L19" s="10">
        <v>170</v>
      </c>
      <c r="M19">
        <v>1</v>
      </c>
      <c r="N19">
        <f t="shared" si="2"/>
        <v>103</v>
      </c>
      <c r="P19" s="11">
        <f t="shared" si="1"/>
        <v>4489</v>
      </c>
    </row>
    <row r="20" spans="1:16" ht="15.6" x14ac:dyDescent="0.3">
      <c r="A20" s="5">
        <v>18</v>
      </c>
      <c r="B20">
        <v>73</v>
      </c>
      <c r="C20">
        <v>188</v>
      </c>
      <c r="E20" s="9"/>
      <c r="K20">
        <f t="shared" si="0"/>
        <v>283</v>
      </c>
      <c r="L20" s="10">
        <v>180</v>
      </c>
      <c r="M20">
        <v>1</v>
      </c>
      <c r="N20">
        <f t="shared" si="2"/>
        <v>103</v>
      </c>
      <c r="P20" s="11">
        <f t="shared" si="1"/>
        <v>5929</v>
      </c>
    </row>
    <row r="21" spans="1:16" x14ac:dyDescent="0.3">
      <c r="A21" s="4">
        <v>19</v>
      </c>
      <c r="B21">
        <v>74</v>
      </c>
      <c r="C21">
        <v>179</v>
      </c>
      <c r="K21">
        <f t="shared" si="0"/>
        <v>293</v>
      </c>
      <c r="L21" s="10">
        <v>190</v>
      </c>
      <c r="M21">
        <v>1</v>
      </c>
      <c r="N21">
        <f t="shared" si="2"/>
        <v>103</v>
      </c>
      <c r="P21" s="11">
        <f t="shared" si="1"/>
        <v>7569</v>
      </c>
    </row>
    <row r="22" spans="1:16" x14ac:dyDescent="0.3">
      <c r="A22" s="5">
        <v>20</v>
      </c>
      <c r="B22">
        <v>76</v>
      </c>
      <c r="C22">
        <v>180</v>
      </c>
      <c r="K22">
        <f t="shared" si="0"/>
        <v>303</v>
      </c>
      <c r="L22" s="10">
        <v>200</v>
      </c>
      <c r="M22">
        <v>1</v>
      </c>
      <c r="N22">
        <f t="shared" si="2"/>
        <v>103</v>
      </c>
      <c r="P22" s="11">
        <f t="shared" si="1"/>
        <v>9409</v>
      </c>
    </row>
    <row r="23" spans="1:16" x14ac:dyDescent="0.3">
      <c r="A23" s="4">
        <v>21</v>
      </c>
      <c r="B23">
        <v>79</v>
      </c>
      <c r="C23">
        <v>181</v>
      </c>
    </row>
    <row r="24" spans="1:16" x14ac:dyDescent="0.3">
      <c r="A24" s="5">
        <v>22</v>
      </c>
      <c r="B24">
        <v>80</v>
      </c>
      <c r="C24">
        <v>179</v>
      </c>
      <c r="K24" s="2" t="s">
        <v>4</v>
      </c>
      <c r="L24" s="2" t="s">
        <v>0</v>
      </c>
      <c r="M24" s="2" t="s">
        <v>1</v>
      </c>
      <c r="N24" s="2" t="s">
        <v>2</v>
      </c>
      <c r="P24" s="2" t="s">
        <v>31</v>
      </c>
    </row>
    <row r="25" spans="1:16" x14ac:dyDescent="0.3">
      <c r="A25" s="4">
        <v>23</v>
      </c>
      <c r="B25">
        <v>82</v>
      </c>
      <c r="C25">
        <v>194</v>
      </c>
      <c r="K25">
        <f t="shared" ref="K25:K44" si="3">L25+(M25*N25)</f>
        <v>110.3</v>
      </c>
      <c r="L25">
        <v>100</v>
      </c>
      <c r="M25" s="10">
        <v>0.1</v>
      </c>
      <c r="N25">
        <v>103</v>
      </c>
      <c r="P25" s="11">
        <f t="shared" ref="P25:P44" si="4">(K25-$C$32)^2</f>
        <v>9158.49</v>
      </c>
    </row>
    <row r="26" spans="1:16" x14ac:dyDescent="0.3">
      <c r="A26" s="5">
        <v>24</v>
      </c>
      <c r="B26">
        <v>82</v>
      </c>
      <c r="C26">
        <v>190</v>
      </c>
      <c r="K26">
        <f t="shared" si="3"/>
        <v>120.6</v>
      </c>
      <c r="L26">
        <v>100</v>
      </c>
      <c r="M26" s="10">
        <v>0.2</v>
      </c>
      <c r="N26">
        <f>N25</f>
        <v>103</v>
      </c>
      <c r="P26" s="11">
        <f t="shared" si="4"/>
        <v>7293.1600000000008</v>
      </c>
    </row>
    <row r="27" spans="1:16" x14ac:dyDescent="0.3">
      <c r="A27" s="4">
        <v>25</v>
      </c>
      <c r="B27">
        <v>85</v>
      </c>
      <c r="C27">
        <v>180</v>
      </c>
      <c r="K27">
        <f t="shared" si="3"/>
        <v>130.9</v>
      </c>
      <c r="L27">
        <v>100</v>
      </c>
      <c r="M27" s="10">
        <v>0.3</v>
      </c>
      <c r="N27">
        <f t="shared" ref="N27:N43" si="5">N26</f>
        <v>103</v>
      </c>
      <c r="P27" s="11">
        <f t="shared" si="4"/>
        <v>5640.0099999999993</v>
      </c>
    </row>
    <row r="28" spans="1:16" x14ac:dyDescent="0.3">
      <c r="A28" s="5">
        <v>26</v>
      </c>
      <c r="B28">
        <v>86</v>
      </c>
      <c r="C28">
        <v>182</v>
      </c>
      <c r="K28">
        <f t="shared" si="3"/>
        <v>141.19999999999999</v>
      </c>
      <c r="L28">
        <v>100</v>
      </c>
      <c r="M28" s="10">
        <v>0.4</v>
      </c>
      <c r="N28">
        <f t="shared" si="5"/>
        <v>103</v>
      </c>
      <c r="P28" s="11">
        <f t="shared" si="4"/>
        <v>4199.0400000000018</v>
      </c>
    </row>
    <row r="29" spans="1:16" x14ac:dyDescent="0.3">
      <c r="A29" s="4">
        <v>27</v>
      </c>
      <c r="B29">
        <v>88</v>
      </c>
      <c r="C29">
        <v>186</v>
      </c>
      <c r="K29">
        <f t="shared" si="3"/>
        <v>151.5</v>
      </c>
      <c r="L29">
        <v>100</v>
      </c>
      <c r="M29" s="10">
        <v>0.5</v>
      </c>
      <c r="N29">
        <f t="shared" si="5"/>
        <v>103</v>
      </c>
      <c r="P29" s="11">
        <f t="shared" si="4"/>
        <v>2970.25</v>
      </c>
    </row>
    <row r="30" spans="1:16" x14ac:dyDescent="0.3">
      <c r="A30" s="5">
        <v>28</v>
      </c>
      <c r="B30">
        <v>97</v>
      </c>
      <c r="C30">
        <v>197</v>
      </c>
      <c r="K30">
        <f t="shared" si="3"/>
        <v>161.80000000000001</v>
      </c>
      <c r="L30">
        <v>100</v>
      </c>
      <c r="M30" s="10">
        <v>0.6</v>
      </c>
      <c r="N30">
        <f t="shared" si="5"/>
        <v>103</v>
      </c>
      <c r="P30" s="11">
        <f t="shared" si="4"/>
        <v>1953.639999999999</v>
      </c>
    </row>
    <row r="31" spans="1:16" x14ac:dyDescent="0.3">
      <c r="A31" s="4">
        <v>29</v>
      </c>
      <c r="B31">
        <v>100</v>
      </c>
      <c r="C31">
        <v>194</v>
      </c>
      <c r="K31">
        <f t="shared" si="3"/>
        <v>172.1</v>
      </c>
      <c r="L31">
        <v>100</v>
      </c>
      <c r="M31" s="10">
        <v>0.7</v>
      </c>
      <c r="N31">
        <f t="shared" si="5"/>
        <v>103</v>
      </c>
      <c r="P31" s="11">
        <f t="shared" si="4"/>
        <v>1149.2100000000005</v>
      </c>
    </row>
    <row r="32" spans="1:16" x14ac:dyDescent="0.3">
      <c r="A32" s="5">
        <v>30</v>
      </c>
      <c r="B32">
        <v>103</v>
      </c>
      <c r="C32">
        <v>206</v>
      </c>
      <c r="K32">
        <f t="shared" si="3"/>
        <v>182.4</v>
      </c>
      <c r="L32">
        <v>100</v>
      </c>
      <c r="M32" s="10">
        <v>0.8</v>
      </c>
      <c r="N32">
        <f t="shared" si="5"/>
        <v>103</v>
      </c>
      <c r="P32" s="11">
        <f t="shared" si="4"/>
        <v>556.9599999999997</v>
      </c>
    </row>
    <row r="33" spans="11:16" x14ac:dyDescent="0.3">
      <c r="K33">
        <f t="shared" si="3"/>
        <v>192.7</v>
      </c>
      <c r="L33">
        <v>100</v>
      </c>
      <c r="M33" s="10">
        <v>0.9</v>
      </c>
      <c r="N33">
        <f t="shared" si="5"/>
        <v>103</v>
      </c>
      <c r="P33" s="11">
        <f t="shared" si="4"/>
        <v>176.8900000000003</v>
      </c>
    </row>
    <row r="34" spans="11:16" x14ac:dyDescent="0.3">
      <c r="K34">
        <f t="shared" si="3"/>
        <v>203</v>
      </c>
      <c r="L34">
        <v>100</v>
      </c>
      <c r="M34" s="10">
        <v>1</v>
      </c>
      <c r="N34">
        <f t="shared" si="5"/>
        <v>103</v>
      </c>
      <c r="P34" s="11">
        <f t="shared" si="4"/>
        <v>9</v>
      </c>
    </row>
    <row r="35" spans="11:16" x14ac:dyDescent="0.3">
      <c r="K35">
        <f t="shared" si="3"/>
        <v>213.3</v>
      </c>
      <c r="L35">
        <v>100</v>
      </c>
      <c r="M35" s="10">
        <v>1.1000000000000001</v>
      </c>
      <c r="N35">
        <f t="shared" si="5"/>
        <v>103</v>
      </c>
      <c r="P35" s="11">
        <f t="shared" si="4"/>
        <v>53.290000000000163</v>
      </c>
    </row>
    <row r="36" spans="11:16" x14ac:dyDescent="0.3">
      <c r="K36">
        <f t="shared" si="3"/>
        <v>223.6</v>
      </c>
      <c r="L36">
        <v>100</v>
      </c>
      <c r="M36" s="10">
        <v>1.2</v>
      </c>
      <c r="N36">
        <f t="shared" si="5"/>
        <v>103</v>
      </c>
      <c r="P36" s="11">
        <f t="shared" si="4"/>
        <v>309.75999999999982</v>
      </c>
    </row>
    <row r="37" spans="11:16" x14ac:dyDescent="0.3">
      <c r="K37">
        <f t="shared" si="3"/>
        <v>233.9</v>
      </c>
      <c r="L37">
        <v>100</v>
      </c>
      <c r="M37" s="10">
        <v>1.3</v>
      </c>
      <c r="N37">
        <f t="shared" si="5"/>
        <v>103</v>
      </c>
      <c r="P37" s="11">
        <f t="shared" si="4"/>
        <v>778.41000000000031</v>
      </c>
    </row>
    <row r="38" spans="11:16" x14ac:dyDescent="0.3">
      <c r="K38">
        <f t="shared" si="3"/>
        <v>244.2</v>
      </c>
      <c r="L38">
        <v>100</v>
      </c>
      <c r="M38" s="10">
        <v>1.4</v>
      </c>
      <c r="N38">
        <f t="shared" si="5"/>
        <v>103</v>
      </c>
      <c r="P38" s="11">
        <f t="shared" si="4"/>
        <v>1459.2399999999991</v>
      </c>
    </row>
    <row r="39" spans="11:16" x14ac:dyDescent="0.3">
      <c r="K39">
        <f t="shared" si="3"/>
        <v>254.5</v>
      </c>
      <c r="L39">
        <v>100</v>
      </c>
      <c r="M39" s="10">
        <v>1.5</v>
      </c>
      <c r="N39">
        <f t="shared" si="5"/>
        <v>103</v>
      </c>
      <c r="P39" s="11">
        <f t="shared" si="4"/>
        <v>2352.25</v>
      </c>
    </row>
    <row r="40" spans="11:16" x14ac:dyDescent="0.3">
      <c r="K40">
        <f t="shared" si="3"/>
        <v>264.8</v>
      </c>
      <c r="L40">
        <v>100</v>
      </c>
      <c r="M40" s="10">
        <v>1.6</v>
      </c>
      <c r="N40">
        <f t="shared" si="5"/>
        <v>103</v>
      </c>
      <c r="P40" s="11">
        <f t="shared" si="4"/>
        <v>3457.4400000000014</v>
      </c>
    </row>
    <row r="41" spans="11:16" x14ac:dyDescent="0.3">
      <c r="K41">
        <f t="shared" si="3"/>
        <v>275.10000000000002</v>
      </c>
      <c r="L41">
        <v>100</v>
      </c>
      <c r="M41" s="10">
        <v>1.7</v>
      </c>
      <c r="N41">
        <f t="shared" si="5"/>
        <v>103</v>
      </c>
      <c r="P41" s="11">
        <f t="shared" si="4"/>
        <v>4774.8100000000031</v>
      </c>
    </row>
    <row r="42" spans="11:16" x14ac:dyDescent="0.3">
      <c r="K42">
        <f t="shared" si="3"/>
        <v>285.39999999999998</v>
      </c>
      <c r="L42">
        <v>100</v>
      </c>
      <c r="M42" s="10">
        <v>1.8</v>
      </c>
      <c r="N42">
        <f t="shared" si="5"/>
        <v>103</v>
      </c>
      <c r="P42" s="11">
        <f t="shared" si="4"/>
        <v>6304.359999999996</v>
      </c>
    </row>
    <row r="43" spans="11:16" x14ac:dyDescent="0.3">
      <c r="K43">
        <f t="shared" si="3"/>
        <v>295.7</v>
      </c>
      <c r="L43">
        <v>100</v>
      </c>
      <c r="M43" s="10">
        <v>1.9</v>
      </c>
      <c r="N43">
        <f t="shared" si="5"/>
        <v>103</v>
      </c>
      <c r="P43" s="11">
        <f t="shared" si="4"/>
        <v>8046.0899999999983</v>
      </c>
    </row>
    <row r="44" spans="11:16" x14ac:dyDescent="0.3">
      <c r="K44">
        <f t="shared" si="3"/>
        <v>306</v>
      </c>
      <c r="L44">
        <v>100</v>
      </c>
      <c r="M44" s="10">
        <v>2</v>
      </c>
      <c r="N44">
        <f>N43</f>
        <v>103</v>
      </c>
      <c r="P44" s="11">
        <f t="shared" si="4"/>
        <v>10000</v>
      </c>
    </row>
  </sheetData>
  <sortState xmlns:xlrd2="http://schemas.microsoft.com/office/spreadsheetml/2017/richdata2" ref="B3:C32">
    <sortCondition ref="B2:B32"/>
  </sortState>
  <phoneticPr fontId="4" type="noConversion"/>
  <pageMargins left="0.7" right="0.7" top="0.78740157499999996" bottom="0.78740157499999996" header="0.3" footer="0.3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8FB3-DD3E-4DAE-8E79-FCDE658D1289}">
  <dimension ref="A1:J18"/>
  <sheetViews>
    <sheetView workbookViewId="0">
      <selection activeCell="B21" sqref="B21"/>
    </sheetView>
  </sheetViews>
  <sheetFormatPr baseColWidth="10" defaultRowHeight="14.4" x14ac:dyDescent="0.3"/>
  <cols>
    <col min="1" max="1" width="27.6640625" bestFit="1" customWidth="1"/>
    <col min="2" max="2" width="16.5546875" bestFit="1" customWidth="1"/>
  </cols>
  <sheetData>
    <row r="1" spans="1:9" x14ac:dyDescent="0.3">
      <c r="A1" t="s">
        <v>6</v>
      </c>
    </row>
    <row r="2" spans="1:9" ht="15" thickBot="1" x14ac:dyDescent="0.35"/>
    <row r="3" spans="1:9" x14ac:dyDescent="0.3">
      <c r="A3" s="8" t="s">
        <v>7</v>
      </c>
      <c r="B3" s="8"/>
    </row>
    <row r="4" spans="1:9" x14ac:dyDescent="0.3">
      <c r="A4" t="s">
        <v>8</v>
      </c>
      <c r="B4">
        <v>0.90881164642888157</v>
      </c>
    </row>
    <row r="5" spans="1:9" x14ac:dyDescent="0.3">
      <c r="A5" t="s">
        <v>9</v>
      </c>
      <c r="B5">
        <v>0.82593860868477442</v>
      </c>
    </row>
    <row r="6" spans="1:9" x14ac:dyDescent="0.3">
      <c r="A6" t="s">
        <v>10</v>
      </c>
      <c r="B6">
        <v>0.81972213042351627</v>
      </c>
    </row>
    <row r="7" spans="1:9" x14ac:dyDescent="0.3">
      <c r="A7" t="s">
        <v>11</v>
      </c>
      <c r="B7">
        <v>5.7401393474502056</v>
      </c>
    </row>
    <row r="8" spans="1:9" ht="15" thickBot="1" x14ac:dyDescent="0.35">
      <c r="A8" s="6" t="s">
        <v>12</v>
      </c>
      <c r="B8" s="6">
        <v>30</v>
      </c>
    </row>
    <row r="10" spans="1:9" ht="15" thickBot="1" x14ac:dyDescent="0.35">
      <c r="A10" t="s">
        <v>13</v>
      </c>
    </row>
    <row r="11" spans="1:9" x14ac:dyDescent="0.3">
      <c r="A11" s="7"/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spans="1:9" x14ac:dyDescent="0.3">
      <c r="A12" t="s">
        <v>14</v>
      </c>
      <c r="B12">
        <v>1</v>
      </c>
      <c r="C12">
        <v>4377.7224076119091</v>
      </c>
      <c r="D12">
        <v>4377.7224076119091</v>
      </c>
      <c r="E12">
        <v>132.86278403515649</v>
      </c>
      <c r="F12">
        <v>3.8268545908517175E-12</v>
      </c>
    </row>
    <row r="13" spans="1:9" x14ac:dyDescent="0.3">
      <c r="A13" t="s">
        <v>15</v>
      </c>
      <c r="B13">
        <v>28</v>
      </c>
      <c r="C13">
        <v>922.57759238809012</v>
      </c>
      <c r="D13">
        <v>32.949199728146077</v>
      </c>
    </row>
    <row r="14" spans="1:9" ht="15" thickBot="1" x14ac:dyDescent="0.35">
      <c r="A14" s="6" t="s">
        <v>16</v>
      </c>
      <c r="B14" s="6">
        <v>29</v>
      </c>
      <c r="C14" s="6">
        <v>5300.2999999999993</v>
      </c>
      <c r="D14" s="6"/>
      <c r="E14" s="6"/>
      <c r="F14" s="6"/>
    </row>
    <row r="15" spans="1:9" ht="15" thickBot="1" x14ac:dyDescent="0.35"/>
    <row r="16" spans="1:9" x14ac:dyDescent="0.3">
      <c r="A16" s="7"/>
      <c r="B16" s="13" t="s">
        <v>23</v>
      </c>
      <c r="C16" s="7" t="s">
        <v>11</v>
      </c>
      <c r="D16" s="7" t="s">
        <v>24</v>
      </c>
      <c r="E16" s="7" t="s">
        <v>25</v>
      </c>
      <c r="F16" s="7" t="s">
        <v>26</v>
      </c>
      <c r="G16" s="7" t="s">
        <v>27</v>
      </c>
      <c r="H16" s="7" t="s">
        <v>28</v>
      </c>
      <c r="I16" s="7" t="s">
        <v>29</v>
      </c>
    </row>
    <row r="17" spans="1:10" x14ac:dyDescent="0.3">
      <c r="A17" t="s">
        <v>17</v>
      </c>
      <c r="B17" s="10">
        <v>115.80860840848067</v>
      </c>
      <c r="C17">
        <v>5.2155440165714326</v>
      </c>
      <c r="D17">
        <v>22.204511751893971</v>
      </c>
      <c r="E17">
        <v>2.5684650719230697E-19</v>
      </c>
      <c r="F17">
        <v>105.12505079658828</v>
      </c>
      <c r="G17">
        <v>126.49216602037305</v>
      </c>
      <c r="H17">
        <v>105.12505079658828</v>
      </c>
      <c r="I17">
        <v>126.49216602037305</v>
      </c>
      <c r="J17" t="s">
        <v>0</v>
      </c>
    </row>
    <row r="18" spans="1:10" ht="15" thickBot="1" x14ac:dyDescent="0.35">
      <c r="A18" s="6" t="s">
        <v>30</v>
      </c>
      <c r="B18" s="12">
        <v>0.82906698627197539</v>
      </c>
      <c r="C18" s="6">
        <v>7.1926337659474107E-2</v>
      </c>
      <c r="D18" s="6">
        <v>11.526611992912599</v>
      </c>
      <c r="E18" s="6">
        <v>3.8268545908517038E-12</v>
      </c>
      <c r="F18" s="6">
        <v>0.68173256252713244</v>
      </c>
      <c r="G18" s="6">
        <v>0.97640141001681835</v>
      </c>
      <c r="H18" s="6">
        <v>0.68173256252713244</v>
      </c>
      <c r="I18" s="6">
        <v>0.97640141001681835</v>
      </c>
      <c r="J18" t="s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Beispiel</vt:lpstr>
      <vt:lpstr>Regressionsanalyse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Bendig</dc:creator>
  <cp:lastModifiedBy>Ralf Bendig</cp:lastModifiedBy>
  <dcterms:created xsi:type="dcterms:W3CDTF">2023-03-28T10:14:24Z</dcterms:created>
  <dcterms:modified xsi:type="dcterms:W3CDTF">2023-05-05T15:24:43Z</dcterms:modified>
</cp:coreProperties>
</file>