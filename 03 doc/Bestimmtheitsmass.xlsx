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2f0ec7fd2bf0214/Desktop/FOM/Big_Data_Data_Science/Guide to Intelligent Data Science/Slides/"/>
    </mc:Choice>
  </mc:AlternateContent>
  <xr:revisionPtr revIDLastSave="32" documentId="8_{2BC7E8E5-2779-4274-B351-02AE71AF8873}" xr6:coauthVersionLast="47" xr6:coauthVersionMax="47" xr10:uidLastSave="{81D0F941-F257-41EC-BABD-A91ED5A5BFF8}"/>
  <bookViews>
    <workbookView xWindow="-110" yWindow="-110" windowWidth="24220" windowHeight="15500" xr2:uid="{BC14C942-F14E-4F5E-BDA5-F03FE22B98B0}"/>
  </bookViews>
  <sheets>
    <sheet name="data" sheetId="2" r:id="rId1"/>
    <sheet name="Beispie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G2" i="1" s="1"/>
  <c r="D3" i="1" l="1"/>
  <c r="H2" i="1"/>
  <c r="H3" i="1" l="1"/>
  <c r="D4" i="1"/>
  <c r="G3" i="1"/>
  <c r="H4" i="1" l="1"/>
  <c r="D5" i="1"/>
  <c r="G4" i="1"/>
  <c r="D6" i="1" l="1"/>
  <c r="H5" i="1"/>
  <c r="G5" i="1"/>
  <c r="D7" i="1" l="1"/>
  <c r="G6" i="1"/>
  <c r="H6" i="1"/>
  <c r="D8" i="1" l="1"/>
  <c r="G7" i="1"/>
  <c r="H7" i="1"/>
  <c r="D9" i="1" l="1"/>
  <c r="G8" i="1"/>
  <c r="H8" i="1"/>
  <c r="D10" i="1" l="1"/>
  <c r="G9" i="1"/>
  <c r="H9" i="1"/>
  <c r="D11" i="1" l="1"/>
  <c r="G10" i="1"/>
  <c r="H10" i="1"/>
  <c r="D12" i="1" l="1"/>
  <c r="H11" i="1"/>
  <c r="G11" i="1"/>
  <c r="D13" i="1" l="1"/>
  <c r="H12" i="1"/>
  <c r="G12" i="1"/>
  <c r="D14" i="1" l="1"/>
  <c r="H13" i="1"/>
  <c r="G13" i="1"/>
  <c r="D15" i="1" l="1"/>
  <c r="G14" i="1"/>
  <c r="H14" i="1"/>
  <c r="D16" i="1" l="1"/>
  <c r="G15" i="1"/>
  <c r="H15" i="1"/>
  <c r="D17" i="1" l="1"/>
  <c r="H16" i="1"/>
  <c r="G16" i="1"/>
  <c r="G17" i="1" l="1"/>
  <c r="G19" i="1" s="1"/>
  <c r="H17" i="1"/>
  <c r="H19" i="1" s="1"/>
  <c r="I21" i="1" l="1"/>
</calcChain>
</file>

<file path=xl/sharedStrings.xml><?xml version="1.0" encoding="utf-8"?>
<sst xmlns="http://schemas.openxmlformats.org/spreadsheetml/2006/main" count="20" uniqueCount="15">
  <si>
    <t>x</t>
  </si>
  <si>
    <t>y_pred</t>
  </si>
  <si>
    <t>y_mittel</t>
  </si>
  <si>
    <t>SQE</t>
  </si>
  <si>
    <t>SQT</t>
  </si>
  <si>
    <t>Row Id</t>
  </si>
  <si>
    <t>Summe</t>
  </si>
  <si>
    <r>
      <t>r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</si>
  <si>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t>y_real</t>
  </si>
  <si>
    <t>SQE/SQT</t>
  </si>
  <si>
    <r>
      <t>(y_pred - y_mittel)</t>
    </r>
    <r>
      <rPr>
        <vertAlign val="superscript"/>
        <sz val="11"/>
        <color theme="1"/>
        <rFont val="Calibri"/>
        <family val="2"/>
        <scheme val="minor"/>
      </rPr>
      <t>2</t>
    </r>
  </si>
  <si>
    <r>
      <t>(y_real - y_mittel)</t>
    </r>
    <r>
      <rPr>
        <vertAlign val="superscript"/>
        <sz val="11"/>
        <color theme="1"/>
        <rFont val="Calibri"/>
        <family val="2"/>
        <scheme val="minor"/>
      </rPr>
      <t>2</t>
    </r>
  </si>
  <si>
    <t xml:space="preserve">Durch Regressiongerade erklärte Abweichung </t>
  </si>
  <si>
    <t>Sum of Squares Total</t>
  </si>
  <si>
    <t>Sum of Squares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</si>
</sst>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/>
    </xf>
    <xf numFmtId="0" fontId="3" fillId="3" borderId="0" xfId="0" applyFont="1" applyFill="1"/>
    <xf numFmtId="2" fontId="3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/>
    <xf numFmtId="2" fontId="2" fillId="3" borderId="0" xfId="0" applyNumberFormat="1" applyFont="1" applyFill="1"/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/>
    </xf>
    <xf numFmtId="0" fontId="0" fillId="6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3654F-13E8-44B0-93AB-63FBAC77418B}">
  <dimension ref="A1:B17"/>
  <sheetViews>
    <sheetView tabSelected="1" workbookViewId="0">
      <selection sqref="A1:B17"/>
    </sheetView>
  </sheetViews>
  <sheetFormatPr baseColWidth="10" defaultRowHeight="14.5" x14ac:dyDescent="0.35"/>
  <sheetData>
    <row r="1" spans="1:2" x14ac:dyDescent="0.35">
      <c r="A1" s="6" t="s">
        <v>0</v>
      </c>
      <c r="B1" s="13" t="s">
        <v>8</v>
      </c>
    </row>
    <row r="2" spans="1:2" x14ac:dyDescent="0.35">
      <c r="A2" s="1">
        <v>1</v>
      </c>
      <c r="B2" s="1">
        <v>1</v>
      </c>
    </row>
    <row r="3" spans="1:2" x14ac:dyDescent="0.35">
      <c r="A3" s="1">
        <v>2</v>
      </c>
      <c r="B3" s="1">
        <v>3</v>
      </c>
    </row>
    <row r="4" spans="1:2" x14ac:dyDescent="0.35">
      <c r="A4" s="1">
        <v>3</v>
      </c>
      <c r="B4" s="1">
        <v>2</v>
      </c>
    </row>
    <row r="5" spans="1:2" x14ac:dyDescent="0.35">
      <c r="A5" s="1">
        <v>4</v>
      </c>
      <c r="B5" s="1">
        <v>3</v>
      </c>
    </row>
    <row r="6" spans="1:2" x14ac:dyDescent="0.35">
      <c r="A6" s="1">
        <v>5</v>
      </c>
      <c r="B6" s="1">
        <v>4</v>
      </c>
    </row>
    <row r="7" spans="1:2" x14ac:dyDescent="0.35">
      <c r="A7" s="1">
        <v>6</v>
      </c>
      <c r="B7" s="1">
        <v>3</v>
      </c>
    </row>
    <row r="8" spans="1:2" x14ac:dyDescent="0.35">
      <c r="A8" s="1">
        <v>7</v>
      </c>
      <c r="B8" s="1">
        <v>5</v>
      </c>
    </row>
    <row r="9" spans="1:2" x14ac:dyDescent="0.35">
      <c r="A9" s="1">
        <v>8</v>
      </c>
      <c r="B9" s="1">
        <v>6</v>
      </c>
    </row>
    <row r="10" spans="1:2" x14ac:dyDescent="0.35">
      <c r="A10" s="1">
        <v>1</v>
      </c>
      <c r="B10" s="1">
        <v>1</v>
      </c>
    </row>
    <row r="11" spans="1:2" x14ac:dyDescent="0.35">
      <c r="A11" s="1">
        <v>2</v>
      </c>
      <c r="B11" s="1">
        <v>3</v>
      </c>
    </row>
    <row r="12" spans="1:2" x14ac:dyDescent="0.35">
      <c r="A12" s="1">
        <v>3</v>
      </c>
      <c r="B12" s="1">
        <v>2</v>
      </c>
    </row>
    <row r="13" spans="1:2" x14ac:dyDescent="0.35">
      <c r="A13" s="1">
        <v>4</v>
      </c>
      <c r="B13" s="1">
        <v>3</v>
      </c>
    </row>
    <row r="14" spans="1:2" x14ac:dyDescent="0.35">
      <c r="A14" s="1">
        <v>5</v>
      </c>
      <c r="B14" s="1">
        <v>4</v>
      </c>
    </row>
    <row r="15" spans="1:2" x14ac:dyDescent="0.35">
      <c r="A15" s="1">
        <v>6</v>
      </c>
      <c r="B15" s="1">
        <v>3</v>
      </c>
    </row>
    <row r="16" spans="1:2" x14ac:dyDescent="0.35">
      <c r="A16" s="1">
        <v>7</v>
      </c>
      <c r="B16" s="1">
        <v>5</v>
      </c>
    </row>
    <row r="17" spans="1:2" x14ac:dyDescent="0.35">
      <c r="A17" s="1">
        <v>8</v>
      </c>
      <c r="B17" s="1">
        <v>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DEFDC-8F73-43F8-AFEA-205E63817A48}">
  <dimension ref="A1:I28"/>
  <sheetViews>
    <sheetView showGridLines="0" workbookViewId="0">
      <selection activeCell="B1" sqref="B1:C17"/>
    </sheetView>
  </sheetViews>
  <sheetFormatPr baseColWidth="10" defaultRowHeight="14.5" x14ac:dyDescent="0.35"/>
  <cols>
    <col min="1" max="1" width="10.90625" style="4"/>
    <col min="6" max="6" width="2.6328125" customWidth="1"/>
  </cols>
  <sheetData>
    <row r="1" spans="1:8" x14ac:dyDescent="0.35">
      <c r="A1" s="5" t="s">
        <v>5</v>
      </c>
      <c r="B1" s="6" t="s">
        <v>0</v>
      </c>
      <c r="C1" s="13" t="s">
        <v>8</v>
      </c>
      <c r="D1" s="6" t="s">
        <v>2</v>
      </c>
      <c r="E1" s="14" t="s">
        <v>1</v>
      </c>
      <c r="G1" s="6" t="s">
        <v>3</v>
      </c>
      <c r="H1" s="6" t="s">
        <v>4</v>
      </c>
    </row>
    <row r="2" spans="1:8" x14ac:dyDescent="0.35">
      <c r="A2" s="4">
        <v>1</v>
      </c>
      <c r="B2" s="1">
        <v>1</v>
      </c>
      <c r="C2" s="1">
        <v>1</v>
      </c>
      <c r="D2" s="1">
        <f>AVERAGE(C2:C17)</f>
        <v>3.375</v>
      </c>
      <c r="E2" s="2">
        <v>1.3333333333333299</v>
      </c>
      <c r="G2" s="2">
        <f>(E2-D2)^2</f>
        <v>4.1684027777777919</v>
      </c>
      <c r="H2" s="3">
        <f>(C2-D2)^2</f>
        <v>5.640625</v>
      </c>
    </row>
    <row r="3" spans="1:8" x14ac:dyDescent="0.35">
      <c r="A3" s="4">
        <v>2</v>
      </c>
      <c r="B3" s="1">
        <v>2</v>
      </c>
      <c r="C3" s="1">
        <v>3</v>
      </c>
      <c r="D3" s="1">
        <f>D2</f>
        <v>3.375</v>
      </c>
      <c r="E3" s="2">
        <v>1.9166666666666601</v>
      </c>
      <c r="G3" s="2">
        <f t="shared" ref="G3:G16" si="0">(E3-D3)^2</f>
        <v>2.1267361111111303</v>
      </c>
      <c r="H3" s="3">
        <f t="shared" ref="H3:H17" si="1">(C3-D3)^2</f>
        <v>0.140625</v>
      </c>
    </row>
    <row r="4" spans="1:8" x14ac:dyDescent="0.35">
      <c r="A4" s="4">
        <v>3</v>
      </c>
      <c r="B4" s="1">
        <v>3</v>
      </c>
      <c r="C4" s="1">
        <v>2</v>
      </c>
      <c r="D4" s="1">
        <f t="shared" ref="D4:D17" si="2">D3</f>
        <v>3.375</v>
      </c>
      <c r="E4" s="2">
        <v>2.5</v>
      </c>
      <c r="G4" s="2">
        <f t="shared" si="0"/>
        <v>0.765625</v>
      </c>
      <c r="H4" s="3">
        <f t="shared" si="1"/>
        <v>1.890625</v>
      </c>
    </row>
    <row r="5" spans="1:8" x14ac:dyDescent="0.35">
      <c r="A5" s="4">
        <v>4</v>
      </c>
      <c r="B5" s="1">
        <v>4</v>
      </c>
      <c r="C5" s="1">
        <v>3</v>
      </c>
      <c r="D5" s="1">
        <f t="shared" si="2"/>
        <v>3.375</v>
      </c>
      <c r="E5" s="2">
        <v>3.0833333333333299</v>
      </c>
      <c r="G5" s="2">
        <f t="shared" si="0"/>
        <v>8.5069444444446432E-2</v>
      </c>
      <c r="H5" s="3">
        <f t="shared" si="1"/>
        <v>0.140625</v>
      </c>
    </row>
    <row r="6" spans="1:8" x14ac:dyDescent="0.35">
      <c r="A6" s="4">
        <v>5</v>
      </c>
      <c r="B6" s="1">
        <v>5</v>
      </c>
      <c r="C6" s="1">
        <v>4</v>
      </c>
      <c r="D6" s="1">
        <f t="shared" si="2"/>
        <v>3.375</v>
      </c>
      <c r="E6" s="2">
        <v>3.6666666666666599</v>
      </c>
      <c r="G6" s="2">
        <f t="shared" si="0"/>
        <v>8.5069444444440478E-2</v>
      </c>
      <c r="H6" s="3">
        <f t="shared" si="1"/>
        <v>0.390625</v>
      </c>
    </row>
    <row r="7" spans="1:8" x14ac:dyDescent="0.35">
      <c r="A7" s="4">
        <v>6</v>
      </c>
      <c r="B7" s="1">
        <v>6</v>
      </c>
      <c r="C7" s="1">
        <v>3</v>
      </c>
      <c r="D7" s="1">
        <f t="shared" si="2"/>
        <v>3.375</v>
      </c>
      <c r="E7" s="2">
        <v>4.25</v>
      </c>
      <c r="G7" s="2">
        <f t="shared" si="0"/>
        <v>0.765625</v>
      </c>
      <c r="H7" s="3">
        <f t="shared" si="1"/>
        <v>0.140625</v>
      </c>
    </row>
    <row r="8" spans="1:8" x14ac:dyDescent="0.35">
      <c r="A8" s="4">
        <v>7</v>
      </c>
      <c r="B8" s="1">
        <v>7</v>
      </c>
      <c r="C8" s="1">
        <v>5</v>
      </c>
      <c r="D8" s="1">
        <f t="shared" si="2"/>
        <v>3.375</v>
      </c>
      <c r="E8" s="2">
        <v>4.8333333333333304</v>
      </c>
      <c r="G8" s="2">
        <f t="shared" si="0"/>
        <v>2.1267361111111023</v>
      </c>
      <c r="H8" s="3">
        <f t="shared" si="1"/>
        <v>2.640625</v>
      </c>
    </row>
    <row r="9" spans="1:8" x14ac:dyDescent="0.35">
      <c r="A9" s="4">
        <v>8</v>
      </c>
      <c r="B9" s="1">
        <v>8</v>
      </c>
      <c r="C9" s="1">
        <v>6</v>
      </c>
      <c r="D9" s="1">
        <f t="shared" si="2"/>
        <v>3.375</v>
      </c>
      <c r="E9" s="2">
        <v>5.4166666666666599</v>
      </c>
      <c r="G9" s="2">
        <f t="shared" si="0"/>
        <v>4.1684027777777501</v>
      </c>
      <c r="H9" s="3">
        <f t="shared" si="1"/>
        <v>6.890625</v>
      </c>
    </row>
    <row r="10" spans="1:8" x14ac:dyDescent="0.35">
      <c r="A10" s="4">
        <v>9</v>
      </c>
      <c r="B10" s="1">
        <v>1</v>
      </c>
      <c r="C10" s="1">
        <v>1</v>
      </c>
      <c r="D10" s="1">
        <f t="shared" si="2"/>
        <v>3.375</v>
      </c>
      <c r="E10" s="2">
        <v>1.3333333333333299</v>
      </c>
      <c r="G10" s="2">
        <f t="shared" si="0"/>
        <v>4.1684027777777919</v>
      </c>
      <c r="H10" s="3">
        <f t="shared" si="1"/>
        <v>5.640625</v>
      </c>
    </row>
    <row r="11" spans="1:8" x14ac:dyDescent="0.35">
      <c r="A11" s="4">
        <v>10</v>
      </c>
      <c r="B11" s="1">
        <v>2</v>
      </c>
      <c r="C11" s="1">
        <v>3</v>
      </c>
      <c r="D11" s="1">
        <f t="shared" si="2"/>
        <v>3.375</v>
      </c>
      <c r="E11" s="2">
        <v>1.9166666666666601</v>
      </c>
      <c r="G11" s="2">
        <f t="shared" si="0"/>
        <v>2.1267361111111303</v>
      </c>
      <c r="H11" s="3">
        <f t="shared" si="1"/>
        <v>0.140625</v>
      </c>
    </row>
    <row r="12" spans="1:8" x14ac:dyDescent="0.35">
      <c r="A12" s="4">
        <v>11</v>
      </c>
      <c r="B12" s="1">
        <v>3</v>
      </c>
      <c r="C12" s="1">
        <v>2</v>
      </c>
      <c r="D12" s="1">
        <f t="shared" si="2"/>
        <v>3.375</v>
      </c>
      <c r="E12" s="2">
        <v>2.5</v>
      </c>
      <c r="G12" s="2">
        <f t="shared" si="0"/>
        <v>0.765625</v>
      </c>
      <c r="H12" s="3">
        <f t="shared" si="1"/>
        <v>1.890625</v>
      </c>
    </row>
    <row r="13" spans="1:8" x14ac:dyDescent="0.35">
      <c r="A13" s="4">
        <v>12</v>
      </c>
      <c r="B13" s="1">
        <v>4</v>
      </c>
      <c r="C13" s="1">
        <v>3</v>
      </c>
      <c r="D13" s="1">
        <f t="shared" si="2"/>
        <v>3.375</v>
      </c>
      <c r="E13" s="2">
        <v>3.0833333333333299</v>
      </c>
      <c r="G13" s="2">
        <f t="shared" si="0"/>
        <v>8.5069444444446432E-2</v>
      </c>
      <c r="H13" s="3">
        <f t="shared" si="1"/>
        <v>0.140625</v>
      </c>
    </row>
    <row r="14" spans="1:8" x14ac:dyDescent="0.35">
      <c r="A14" s="4">
        <v>13</v>
      </c>
      <c r="B14" s="1">
        <v>5</v>
      </c>
      <c r="C14" s="1">
        <v>4</v>
      </c>
      <c r="D14" s="1">
        <f t="shared" si="2"/>
        <v>3.375</v>
      </c>
      <c r="E14" s="2">
        <v>3.6666666666666599</v>
      </c>
      <c r="G14" s="2">
        <f t="shared" si="0"/>
        <v>8.5069444444440478E-2</v>
      </c>
      <c r="H14" s="3">
        <f t="shared" si="1"/>
        <v>0.390625</v>
      </c>
    </row>
    <row r="15" spans="1:8" x14ac:dyDescent="0.35">
      <c r="A15" s="4">
        <v>14</v>
      </c>
      <c r="B15" s="1">
        <v>6</v>
      </c>
      <c r="C15" s="1">
        <v>3</v>
      </c>
      <c r="D15" s="1">
        <f t="shared" si="2"/>
        <v>3.375</v>
      </c>
      <c r="E15" s="2">
        <v>4.25</v>
      </c>
      <c r="G15" s="2">
        <f t="shared" si="0"/>
        <v>0.765625</v>
      </c>
      <c r="H15" s="3">
        <f t="shared" si="1"/>
        <v>0.140625</v>
      </c>
    </row>
    <row r="16" spans="1:8" x14ac:dyDescent="0.35">
      <c r="A16" s="4">
        <v>15</v>
      </c>
      <c r="B16" s="1">
        <v>7</v>
      </c>
      <c r="C16" s="1">
        <v>5</v>
      </c>
      <c r="D16" s="1">
        <f t="shared" si="2"/>
        <v>3.375</v>
      </c>
      <c r="E16" s="2">
        <v>4.8333333333333304</v>
      </c>
      <c r="G16" s="2">
        <f t="shared" si="0"/>
        <v>2.1267361111111023</v>
      </c>
      <c r="H16" s="3">
        <f t="shared" si="1"/>
        <v>2.640625</v>
      </c>
    </row>
    <row r="17" spans="1:9" x14ac:dyDescent="0.35">
      <c r="A17" s="4">
        <v>16</v>
      </c>
      <c r="B17" s="1">
        <v>8</v>
      </c>
      <c r="C17" s="1">
        <v>6</v>
      </c>
      <c r="D17" s="1">
        <f t="shared" si="2"/>
        <v>3.375</v>
      </c>
      <c r="E17" s="2">
        <v>5.4166666666666599</v>
      </c>
      <c r="G17" s="2">
        <f>(E17-D17)^2</f>
        <v>4.1684027777777501</v>
      </c>
      <c r="H17" s="3">
        <f t="shared" si="1"/>
        <v>6.890625</v>
      </c>
    </row>
    <row r="18" spans="1:9" x14ac:dyDescent="0.35">
      <c r="G18" s="4"/>
      <c r="H18" s="4"/>
    </row>
    <row r="19" spans="1:9" x14ac:dyDescent="0.35">
      <c r="A19" s="7" t="s">
        <v>6</v>
      </c>
      <c r="B19" s="8"/>
      <c r="C19" s="8"/>
      <c r="D19" s="8"/>
      <c r="E19" s="8"/>
      <c r="F19" s="8"/>
      <c r="G19" s="9">
        <f>SUM(G2:G17)</f>
        <v>28.583333333333325</v>
      </c>
      <c r="H19" s="9">
        <f>SUM(H2:H17)</f>
        <v>35.75</v>
      </c>
    </row>
    <row r="21" spans="1:9" ht="16.5" x14ac:dyDescent="0.35">
      <c r="A21" s="10" t="s">
        <v>7</v>
      </c>
      <c r="B21" s="11"/>
      <c r="C21" s="11"/>
      <c r="D21" s="11"/>
      <c r="E21" s="11"/>
      <c r="F21" s="11"/>
      <c r="G21" s="11"/>
      <c r="H21" s="11"/>
      <c r="I21" s="12">
        <f>G19/H19</f>
        <v>0.79953379953379933</v>
      </c>
    </row>
    <row r="24" spans="1:9" ht="16.5" x14ac:dyDescent="0.35">
      <c r="A24" s="4" t="s">
        <v>3</v>
      </c>
      <c r="B24" t="s">
        <v>10</v>
      </c>
      <c r="D24" t="s">
        <v>14</v>
      </c>
    </row>
    <row r="26" spans="1:9" ht="16.5" x14ac:dyDescent="0.35">
      <c r="A26" s="4" t="s">
        <v>4</v>
      </c>
      <c r="B26" t="s">
        <v>11</v>
      </c>
      <c r="D26" t="s">
        <v>13</v>
      </c>
    </row>
    <row r="28" spans="1:9" ht="16.5" x14ac:dyDescent="0.35">
      <c r="A28" s="15" t="s">
        <v>7</v>
      </c>
      <c r="B28" s="16" t="s">
        <v>9</v>
      </c>
      <c r="C28" s="16"/>
      <c r="D28" s="16" t="s">
        <v>12</v>
      </c>
      <c r="E28" s="16"/>
      <c r="F28" s="16"/>
      <c r="G28" s="16"/>
      <c r="H28" s="16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</vt:lpstr>
      <vt:lpstr>Beispiel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Ralf Bendig</dc:creator>
  <cp:lastModifiedBy>Ralf Bendig</cp:lastModifiedBy>
  <dcterms:created xsi:type="dcterms:W3CDTF">2022-12-13T18:47:05Z</dcterms:created>
  <dcterms:modified xsi:type="dcterms:W3CDTF">2023-01-24T18:02:24Z</dcterms:modified>
</cp:coreProperties>
</file>